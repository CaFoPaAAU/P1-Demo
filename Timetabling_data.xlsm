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tables/table9.xml" ContentType="application/vnd.openxmlformats-officedocument.spreadsheetml.table+xml"/>
  <Override PartName="/xl/drawings/drawing9.xml" ContentType="application/vnd.openxmlformats-officedocument.drawing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Denne_projektmappe" defaultThemeVersion="166925"/>
  <mc:AlternateContent xmlns:mc="http://schemas.openxmlformats.org/markup-compatibility/2006">
    <mc:Choice Requires="x15">
      <x15ac:absPath xmlns:x15ac="http://schemas.microsoft.com/office/spreadsheetml/2010/11/ac" url="C:\Users\caspe\Desktop\"/>
    </mc:Choice>
  </mc:AlternateContent>
  <bookViews>
    <workbookView xWindow="0" yWindow="0" windowWidth="5844" windowHeight="684" activeTab="1" xr2:uid="{00000000-000D-0000-FFFF-FFFF00000000}"/>
  </bookViews>
  <sheets>
    <sheet name="Metadata" sheetId="9" r:id="rId1"/>
    <sheet name="Ressource_type" sheetId="8" r:id="rId2"/>
    <sheet name="Room" sheetId="1" r:id="rId3"/>
    <sheet name="Role" sheetId="3" r:id="rId4"/>
    <sheet name="Person" sheetId="2" r:id="rId5"/>
    <sheet name="Subject" sheetId="4" r:id="rId6"/>
    <sheet name="Timeslot" sheetId="6" r:id="rId7"/>
    <sheet name="Group" sheetId="5" r:id="rId8"/>
    <sheet name="Booking_Persons" sheetId="11" r:id="rId9"/>
    <sheet name="Booking_Rooms" sheetId="10" r:id="rId10"/>
  </sheets>
  <definedNames>
    <definedName name="_xlnm._FilterDatabase" localSheetId="6" hidden="1">Timeslot!$A$1:$A$57</definedName>
    <definedName name="Dates" localSheetId="8">Tabel9[Datoer]</definedName>
    <definedName name="Dates" localSheetId="9">Tabel9[Datoer]</definedName>
    <definedName name="Dates">Tabel9[Datoer]</definedName>
    <definedName name="Persons" localSheetId="8">Tabel4[Name]</definedName>
    <definedName name="Persons" localSheetId="9">Tabel4[Name]</definedName>
    <definedName name="Persons">Tabel4[Name]</definedName>
    <definedName name="ResourceTypes" localSheetId="8">Tabel7[Type]</definedName>
    <definedName name="ResourceTypes" localSheetId="9">Tabel7[Type]</definedName>
    <definedName name="ResourceTypes">Tabel7[Type]</definedName>
    <definedName name="Rooms" localSheetId="8">Tabel2[NAME]</definedName>
    <definedName name="Rooms" localSheetId="9">Tabel2[NAME]</definedName>
    <definedName name="Rooms">Tabel2[NAME]</definedName>
    <definedName name="subjects" localSheetId="8">Tabel5[NAME]</definedName>
    <definedName name="subjects" localSheetId="9">Tabel5[NAME]</definedName>
    <definedName name="subjects">Tabel5[NAME]</definedName>
    <definedName name="Timeslots">Timeslot!$C$2:$C$9</definedName>
    <definedName name="TIMESLOTS_ID" localSheetId="8">Tabel1[ID]</definedName>
    <definedName name="TIMESLOTS_ID">Tabel1[ID]</definedName>
    <definedName name="Timeslots_timings" localSheetId="8">Tabel9[Timeslots]</definedName>
    <definedName name="Timeslots_timings" localSheetId="9">Tabel9[Timeslots]</definedName>
    <definedName name="Timeslots_timings">Tabel9[Timeslots]</definedName>
    <definedName name="_xlnm.Extract" localSheetId="6">Timeslot!#REF!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D3" i="1"/>
  <c r="D4" i="1"/>
  <c r="D5" i="1" l="1"/>
  <c r="D6" i="1"/>
  <c r="F39" i="10" l="1"/>
  <c r="F40" i="10"/>
  <c r="F41" i="10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125" i="11" l="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2" i="10"/>
</calcChain>
</file>

<file path=xl/sharedStrings.xml><?xml version="1.0" encoding="utf-8"?>
<sst xmlns="http://schemas.openxmlformats.org/spreadsheetml/2006/main" count="650" uniqueCount="111">
  <si>
    <t>ID</t>
  </si>
  <si>
    <t>A309</t>
  </si>
  <si>
    <t>A314</t>
  </si>
  <si>
    <t>A315</t>
  </si>
  <si>
    <t>Frederik Meyer Boenneland</t>
  </si>
  <si>
    <t>Laurits Nissen</t>
  </si>
  <si>
    <t>Kirsten Krogh Hansen</t>
  </si>
  <si>
    <t>Kurt Noermark</t>
  </si>
  <si>
    <t>Magnus Madsen</t>
  </si>
  <si>
    <t>Sahar Sattari</t>
  </si>
  <si>
    <t>Lars Peter Jensen</t>
  </si>
  <si>
    <t>David Junker</t>
  </si>
  <si>
    <t>Sara Aaen</t>
  </si>
  <si>
    <t>Niels Broendum Pedersen</t>
  </si>
  <si>
    <t>Isabella Kaufmann</t>
  </si>
  <si>
    <t>Henrik Routhe</t>
  </si>
  <si>
    <t>Anders Mariegaard</t>
  </si>
  <si>
    <t>Hans Huettel</t>
  </si>
  <si>
    <t>Asbjoern Romme</t>
  </si>
  <si>
    <t>Tobias Skovgaard Jepsen</t>
  </si>
  <si>
    <t>Chunfang Zhou</t>
  </si>
  <si>
    <t>Soeren Loekke</t>
  </si>
  <si>
    <t>Michel Laden</t>
  </si>
  <si>
    <t>Edward Vingwe</t>
  </si>
  <si>
    <t>Supervisor</t>
  </si>
  <si>
    <t>SUPERVISOR</t>
  </si>
  <si>
    <t>CO_SUPERVISOR</t>
  </si>
  <si>
    <t>Komprimering af korte tekststykker</t>
  </si>
  <si>
    <t>Gruppedannelse</t>
  </si>
  <si>
    <t>Kollisionsundgaaelse i luften</t>
  </si>
  <si>
    <t>Flytning og indretning</t>
  </si>
  <si>
    <t>Elektronisk valg</t>
  </si>
  <si>
    <t>Analyse af livestream data</t>
  </si>
  <si>
    <t>Ressourceplanlaegning paa AAU</t>
  </si>
  <si>
    <t>Intelligente lyskryds</t>
  </si>
  <si>
    <t>Maaling og optimering i parcelhus</t>
  </si>
  <si>
    <t>Detektering af plagiat</t>
  </si>
  <si>
    <t>DAT A305</t>
  </si>
  <si>
    <t>DAT A404</t>
  </si>
  <si>
    <t>DAT A313a</t>
  </si>
  <si>
    <t>DAT A408a</t>
  </si>
  <si>
    <t>SW A311b</t>
  </si>
  <si>
    <t>SW A306</t>
  </si>
  <si>
    <t>SW A310b</t>
  </si>
  <si>
    <t>SW A401</t>
  </si>
  <si>
    <t>DAT A412</t>
  </si>
  <si>
    <t>SW A310a</t>
  </si>
  <si>
    <t>SW A311a</t>
  </si>
  <si>
    <t>DAT A409</t>
  </si>
  <si>
    <t>DAT A403</t>
  </si>
  <si>
    <t>SW A400a</t>
  </si>
  <si>
    <t>SW A402</t>
  </si>
  <si>
    <t>SW A410</t>
  </si>
  <si>
    <t>SW A302</t>
  </si>
  <si>
    <t>SW A428c</t>
  </si>
  <si>
    <t>SW A428b</t>
  </si>
  <si>
    <t>SW A303</t>
  </si>
  <si>
    <t>DAT A325b</t>
  </si>
  <si>
    <t>SW A408b</t>
  </si>
  <si>
    <t>SW A428a</t>
  </si>
  <si>
    <t>DAT A304</t>
  </si>
  <si>
    <t>SW A428d</t>
  </si>
  <si>
    <t>SW A312b</t>
  </si>
  <si>
    <t>SW A313b</t>
  </si>
  <si>
    <t>SW A325a</t>
  </si>
  <si>
    <t>DAT A312a</t>
  </si>
  <si>
    <t>DAT A400b</t>
  </si>
  <si>
    <t>DAT A411</t>
  </si>
  <si>
    <t>MON</t>
  </si>
  <si>
    <t>TUE</t>
  </si>
  <si>
    <t>WED</t>
  </si>
  <si>
    <t>THU</t>
  </si>
  <si>
    <t>FRI</t>
  </si>
  <si>
    <t>AUD 3</t>
  </si>
  <si>
    <t>AUD 4</t>
  </si>
  <si>
    <t>EXTERNAL_SUPERVISOR</t>
  </si>
  <si>
    <t>Role</t>
  </si>
  <si>
    <t>Name</t>
  </si>
  <si>
    <t>NAME</t>
  </si>
  <si>
    <t>TYPE</t>
  </si>
  <si>
    <t>Subject</t>
  </si>
  <si>
    <t>Group</t>
  </si>
  <si>
    <t>Type</t>
  </si>
  <si>
    <t>Date</t>
  </si>
  <si>
    <t>Weekday</t>
  </si>
  <si>
    <t>Time_string</t>
  </si>
  <si>
    <t>Ressource_type</t>
  </si>
  <si>
    <t>Timeslot</t>
  </si>
  <si>
    <t>8:15-9:15</t>
  </si>
  <si>
    <t>9:30-10:30</t>
  </si>
  <si>
    <t>10:45-11:45</t>
  </si>
  <si>
    <t>12:30-13:30</t>
  </si>
  <si>
    <t>13:45-14:45</t>
  </si>
  <si>
    <t>15:0-16:0</t>
  </si>
  <si>
    <t>16:15-17:15</t>
  </si>
  <si>
    <t>17:30-18:30</t>
  </si>
  <si>
    <t>Subject_ID</t>
  </si>
  <si>
    <t>Supervisor_ID</t>
  </si>
  <si>
    <t>Co_supervisor_ID</t>
  </si>
  <si>
    <t>Timeslot_ID</t>
  </si>
  <si>
    <t>Dato</t>
  </si>
  <si>
    <t>Datoer</t>
  </si>
  <si>
    <t>Timeslots</t>
  </si>
  <si>
    <t>Ressource_type_ID</t>
  </si>
  <si>
    <t>PERSON</t>
  </si>
  <si>
    <t>SEMINAR_ROOM</t>
  </si>
  <si>
    <t>CO_Supervisor</t>
  </si>
  <si>
    <t>15:00-16:00</t>
  </si>
  <si>
    <t>TYPE_ID</t>
  </si>
  <si>
    <t>AUDITORIUM</t>
  </si>
  <si>
    <t>Salery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</si>
</sst>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/>
    <xf numFmtId="0" fontId="0" fillId="3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20" fontId="0" fillId="0" borderId="0" xfId="0" applyNumberFormat="1"/>
    <xf numFmtId="14" fontId="0" fillId="0" borderId="0" xfId="0" applyNumberFormat="1"/>
    <xf numFmtId="0" fontId="0" fillId="4" borderId="0" xfId="0" applyFill="1"/>
    <xf numFmtId="0" fontId="0" fillId="3" borderId="3" xfId="0" applyFont="1" applyFill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57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theme="4" tint="0.39997558519241921"/>
        </left>
      </border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579120</xdr:colOff>
      <xdr:row>0</xdr:row>
      <xdr:rowOff>114300</xdr:rowOff>
    </xdr:from>
    <xdr:to>
      <xdr:col>5</xdr:col>
      <xdr:colOff>45720</xdr:colOff>
      <xdr:row>5</xdr:row>
      <xdr:rowOff>80010</xdr:rowOff>
    </xdr:to>
    <xdr:sp macro="[0]!ConvertToTxt" textlink="">
      <xdr:nvSpPr>
        <xdr:cNvPr id="2" name="Rektangel 1">
          <a:extLst>
            <a:ext uri="{FF2B5EF4-FFF2-40B4-BE49-F238E27FC236}">
              <a16:creationId xmlns:a16="http://schemas.microsoft.com/office/drawing/2014/main" id="{46940941-3C3C-4E26-B0C3-A4FD46372FEA}"/>
            </a:ext>
          </a:extLst>
        </xdr:cNvPr>
        <xdr:cNvSpPr/>
      </xdr:nvSpPr>
      <xdr:spPr>
        <a:xfrm>
          <a:off x="1805940" y="114300"/>
          <a:ext cx="1295400" cy="880110"/>
        </a:xfrm>
        <a:prstGeom prst="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100"/>
            <a:t>Klik her for at generere input filer</a:t>
          </a:r>
          <a:r>
            <a:rPr lang="da-DK" sz="1100" baseline="0"/>
            <a:t> til programemt.</a:t>
          </a:r>
          <a:endParaRPr lang="da-DK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365760</xdr:colOff>
      <xdr:row>1</xdr:row>
      <xdr:rowOff>11430</xdr:rowOff>
    </xdr:from>
    <xdr:to>
      <xdr:col>6</xdr:col>
      <xdr:colOff>441960</xdr:colOff>
      <xdr:row>5</xdr:row>
      <xdr:rowOff>160020</xdr:rowOff>
    </xdr:to>
    <xdr:sp macro="[0]!ConvertToTxt" textlink="">
      <xdr:nvSpPr>
        <xdr:cNvPr id="2" name="Rektangel 1">
          <a:extLst>
            <a:ext uri="{FF2B5EF4-FFF2-40B4-BE49-F238E27FC236}">
              <a16:creationId xmlns:a16="http://schemas.microsoft.com/office/drawing/2014/main" id="{8BAFA467-72AF-491E-B611-BB3C615EBCF3}"/>
            </a:ext>
          </a:extLst>
        </xdr:cNvPr>
        <xdr:cNvSpPr/>
      </xdr:nvSpPr>
      <xdr:spPr>
        <a:xfrm>
          <a:off x="2705100" y="194310"/>
          <a:ext cx="1295400" cy="880110"/>
        </a:xfrm>
        <a:prstGeom prst="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100"/>
            <a:t>Klik her for at generere input filer</a:t>
          </a:r>
          <a:r>
            <a:rPr lang="da-DK" sz="1100" baseline="0"/>
            <a:t> til programemt.</a:t>
          </a:r>
          <a:endParaRPr lang="da-DK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312420</xdr:colOff>
      <xdr:row>0</xdr:row>
      <xdr:rowOff>114300</xdr:rowOff>
    </xdr:from>
    <xdr:to>
      <xdr:col>4</xdr:col>
      <xdr:colOff>388620</xdr:colOff>
      <xdr:row>5</xdr:row>
      <xdr:rowOff>80010</xdr:rowOff>
    </xdr:to>
    <xdr:sp macro="[0]!ConvertToTxt" textlink="">
      <xdr:nvSpPr>
        <xdr:cNvPr id="2" name="Rektangel 1">
          <a:extLst>
            <a:ext uri="{FF2B5EF4-FFF2-40B4-BE49-F238E27FC236}">
              <a16:creationId xmlns:a16="http://schemas.microsoft.com/office/drawing/2014/main" id="{89C4BC06-3C44-41E2-B6D8-DE88E8726882}"/>
            </a:ext>
          </a:extLst>
        </xdr:cNvPr>
        <xdr:cNvSpPr/>
      </xdr:nvSpPr>
      <xdr:spPr>
        <a:xfrm>
          <a:off x="2247900" y="114300"/>
          <a:ext cx="1295400" cy="880110"/>
        </a:xfrm>
        <a:prstGeom prst="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100"/>
            <a:t>Klik her for at generere input filer</a:t>
          </a:r>
          <a:r>
            <a:rPr lang="da-DK" sz="1100" baseline="0"/>
            <a:t> til programemt.</a:t>
          </a:r>
          <a:endParaRPr lang="da-DK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</xdr:colOff>
      <xdr:row>0</xdr:row>
      <xdr:rowOff>61913</xdr:rowOff>
    </xdr:from>
    <xdr:to>
      <xdr:col>8</xdr:col>
      <xdr:colOff>80962</xdr:colOff>
      <xdr:row>5</xdr:row>
      <xdr:rowOff>37148</xdr:rowOff>
    </xdr:to>
    <xdr:sp macro="[0]!ConvertToTxt" textlink="">
      <xdr:nvSpPr>
        <xdr:cNvPr id="2" name="Rektangel 1">
          <a:extLst>
            <a:ext uri="{FF2B5EF4-FFF2-40B4-BE49-F238E27FC236}">
              <a16:creationId xmlns:a16="http://schemas.microsoft.com/office/drawing/2014/main" id="{DA44F4A8-B0CF-4720-9173-4DCD80F16505}"/>
            </a:ext>
          </a:extLst>
        </xdr:cNvPr>
        <xdr:cNvSpPr/>
      </xdr:nvSpPr>
      <xdr:spPr>
        <a:xfrm>
          <a:off x="3952875" y="61913"/>
          <a:ext cx="1295400" cy="880110"/>
        </a:xfrm>
        <a:prstGeom prst="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100"/>
            <a:t>Klik her for at generere input filer</a:t>
          </a:r>
          <a:r>
            <a:rPr lang="da-DK" sz="1100" baseline="0"/>
            <a:t> til programemt.</a:t>
          </a:r>
          <a:endParaRPr lang="da-DK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572814</xdr:colOff>
      <xdr:row>0</xdr:row>
      <xdr:rowOff>31531</xdr:rowOff>
    </xdr:from>
    <xdr:to>
      <xdr:col>6</xdr:col>
      <xdr:colOff>39414</xdr:colOff>
      <xdr:row>4</xdr:row>
      <xdr:rowOff>175917</xdr:rowOff>
    </xdr:to>
    <xdr:sp macro="[0]!ConvertToTxt" textlink="">
      <xdr:nvSpPr>
        <xdr:cNvPr id="2" name="Rektangel 1">
          <a:extLst>
            <a:ext uri="{FF2B5EF4-FFF2-40B4-BE49-F238E27FC236}">
              <a16:creationId xmlns:a16="http://schemas.microsoft.com/office/drawing/2014/main" id="{EDE468E6-8D48-462A-BB33-A2390F01D18C}"/>
            </a:ext>
          </a:extLst>
        </xdr:cNvPr>
        <xdr:cNvSpPr/>
      </xdr:nvSpPr>
      <xdr:spPr>
        <a:xfrm>
          <a:off x="3773214" y="31531"/>
          <a:ext cx="1295400" cy="880110"/>
        </a:xfrm>
        <a:prstGeom prst="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100"/>
            <a:t>Klik her for at generere input filer</a:t>
          </a:r>
          <a:r>
            <a:rPr lang="da-DK" sz="1100" baseline="0"/>
            <a:t> til programemt.</a:t>
          </a:r>
          <a:endParaRPr lang="da-DK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327660</xdr:colOff>
      <xdr:row>0</xdr:row>
      <xdr:rowOff>114300</xdr:rowOff>
    </xdr:from>
    <xdr:to>
      <xdr:col>6</xdr:col>
      <xdr:colOff>403860</xdr:colOff>
      <xdr:row>5</xdr:row>
      <xdr:rowOff>80010</xdr:rowOff>
    </xdr:to>
    <xdr:sp macro="[0]!ConvertToTxt" textlink="">
      <xdr:nvSpPr>
        <xdr:cNvPr id="2" name="Rektangel 1">
          <a:extLst>
            <a:ext uri="{FF2B5EF4-FFF2-40B4-BE49-F238E27FC236}">
              <a16:creationId xmlns:a16="http://schemas.microsoft.com/office/drawing/2014/main" id="{D578DE41-1CCF-48B6-AAFC-3EACB09D29BD}"/>
            </a:ext>
          </a:extLst>
        </xdr:cNvPr>
        <xdr:cNvSpPr/>
      </xdr:nvSpPr>
      <xdr:spPr>
        <a:xfrm>
          <a:off x="3261360" y="114300"/>
          <a:ext cx="1295400" cy="880110"/>
        </a:xfrm>
        <a:prstGeom prst="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100"/>
            <a:t>Klik her for at generere input filer</a:t>
          </a:r>
          <a:r>
            <a:rPr lang="da-DK" sz="1100" baseline="0"/>
            <a:t> til programemt.</a:t>
          </a:r>
          <a:endParaRPr lang="da-DK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45720</xdr:colOff>
      <xdr:row>0</xdr:row>
      <xdr:rowOff>53340</xdr:rowOff>
    </xdr:from>
    <xdr:to>
      <xdr:col>11</xdr:col>
      <xdr:colOff>121920</xdr:colOff>
      <xdr:row>5</xdr:row>
      <xdr:rowOff>19050</xdr:rowOff>
    </xdr:to>
    <xdr:sp macro="[0]!ConvertToTxt" textlink="">
      <xdr:nvSpPr>
        <xdr:cNvPr id="2" name="Rektangel 1">
          <a:extLst>
            <a:ext uri="{FF2B5EF4-FFF2-40B4-BE49-F238E27FC236}">
              <a16:creationId xmlns:a16="http://schemas.microsoft.com/office/drawing/2014/main" id="{60363308-B75D-44EA-A003-14A32D1A6666}"/>
            </a:ext>
          </a:extLst>
        </xdr:cNvPr>
        <xdr:cNvSpPr/>
      </xdr:nvSpPr>
      <xdr:spPr>
        <a:xfrm>
          <a:off x="6789420" y="53340"/>
          <a:ext cx="1295400" cy="880110"/>
        </a:xfrm>
        <a:prstGeom prst="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100"/>
            <a:t>Klik her for at generere input filer</a:t>
          </a:r>
          <a:r>
            <a:rPr lang="da-DK" sz="1100" baseline="0"/>
            <a:t> til programemt.</a:t>
          </a:r>
          <a:endParaRPr lang="da-DK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274320</xdr:colOff>
      <xdr:row>0</xdr:row>
      <xdr:rowOff>68580</xdr:rowOff>
    </xdr:from>
    <xdr:to>
      <xdr:col>8</xdr:col>
      <xdr:colOff>350520</xdr:colOff>
      <xdr:row>5</xdr:row>
      <xdr:rowOff>34290</xdr:rowOff>
    </xdr:to>
    <xdr:sp macro="[0]!ConvertToTxt" textlink="">
      <xdr:nvSpPr>
        <xdr:cNvPr id="2" name="Rektangel 1">
          <a:extLst>
            <a:ext uri="{FF2B5EF4-FFF2-40B4-BE49-F238E27FC236}">
              <a16:creationId xmlns:a16="http://schemas.microsoft.com/office/drawing/2014/main" id="{18BE74EF-14EC-478E-BC18-603E66BA2CDF}"/>
            </a:ext>
          </a:extLst>
        </xdr:cNvPr>
        <xdr:cNvSpPr/>
      </xdr:nvSpPr>
      <xdr:spPr>
        <a:xfrm>
          <a:off x="6164580" y="68580"/>
          <a:ext cx="1295400" cy="880110"/>
        </a:xfrm>
        <a:prstGeom prst="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100"/>
            <a:t>Klik her for at generere input filer</a:t>
          </a:r>
          <a:r>
            <a:rPr lang="da-DK" sz="1100" baseline="0"/>
            <a:t> til programemt.</a:t>
          </a:r>
          <a:endParaRPr lang="da-DK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274320</xdr:colOff>
      <xdr:row>0</xdr:row>
      <xdr:rowOff>68580</xdr:rowOff>
    </xdr:from>
    <xdr:to>
      <xdr:col>8</xdr:col>
      <xdr:colOff>350520</xdr:colOff>
      <xdr:row>5</xdr:row>
      <xdr:rowOff>34290</xdr:rowOff>
    </xdr:to>
    <xdr:sp macro="[0]!ConvertToTxt" textlink="">
      <xdr:nvSpPr>
        <xdr:cNvPr id="2" name="Rektangel 1">
          <a:extLst>
            <a:ext uri="{FF2B5EF4-FFF2-40B4-BE49-F238E27FC236}">
              <a16:creationId xmlns:a16="http://schemas.microsoft.com/office/drawing/2014/main" id="{089BD228-7DB6-4334-8F58-18F23E7497EC}"/>
            </a:ext>
          </a:extLst>
        </xdr:cNvPr>
        <xdr:cNvSpPr/>
      </xdr:nvSpPr>
      <xdr:spPr>
        <a:xfrm>
          <a:off x="8778240" y="68580"/>
          <a:ext cx="1295400" cy="880110"/>
        </a:xfrm>
        <a:prstGeom prst="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100"/>
            <a:t>Klik her for at generere input filer</a:t>
          </a:r>
          <a:r>
            <a:rPr lang="da-DK" sz="1100" baseline="0"/>
            <a:t> til programemt.</a:t>
          </a:r>
          <a:endParaRPr lang="da-DK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Tabel9" displayName="Tabel9" ref="A1:B9" totalsRowShown="0" dataDxfId="56">
  <autoFilter ref="A1:B9" xr:uid="{00000000-0009-0000-0100-000009000000}"/>
  <tableColumns count="2">
    <tableColumn id="1" xr3:uid="{00000000-0010-0000-0000-000001000000}" name="Datoer" dataDxfId="55"/>
    <tableColumn id="2" xr3:uid="{00000000-0010-0000-0000-000002000000}" name="Timeslots" dataDxfId="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el7" displayName="Tabel7" ref="A1:B4" totalsRowShown="0" tableBorderDxfId="53">
  <autoFilter ref="A1:B4" xr:uid="{00000000-0009-0000-0100-000007000000}"/>
  <sortState ref="A2:B4">
    <sortCondition ref="B1:B4"/>
  </sortState>
  <tableColumns count="2">
    <tableColumn id="1" xr3:uid="{00000000-0010-0000-0100-000001000000}" name="Type"/>
    <tableColumn id="2" xr3:uid="{00000000-0010-0000-0100-000002000000}" name="ID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el2" displayName="Tabel2" ref="A1:D6" totalsRowShown="0" headerRowDxfId="51" dataDxfId="50">
  <autoFilter ref="A1:D6" xr:uid="{00000000-0009-0000-0100-000002000000}"/>
  <tableColumns count="4">
    <tableColumn id="2" xr3:uid="{00000000-0010-0000-0200-000002000000}" name="NAME" dataDxfId="49"/>
    <tableColumn id="1" xr3:uid="{00000000-0010-0000-0200-000001000000}" name="ID" dataDxfId="48"/>
    <tableColumn id="3" xr3:uid="{00000000-0010-0000-0200-000003000000}" name="TYPE" dataDxfId="47"/>
    <tableColumn id="5" xr3:uid="{00000000-0010-0000-0200-000005000000}" name="TYPE_ID" dataDxfId="46">
      <calculatedColumnFormula>VLOOKUP(Tabel2[[#This Row],[TYPE]],Tabel7[],2,0)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el3" displayName="Tabel3" ref="A1:B4" totalsRowShown="0" headerRowDxfId="45" dataDxfId="44">
  <autoFilter ref="A1:B4" xr:uid="{00000000-0009-0000-0100-000003000000}"/>
  <tableColumns count="2">
    <tableColumn id="2" xr3:uid="{00000000-0010-0000-0300-000002000000}" name="Role" dataDxfId="43"/>
    <tableColumn id="1" xr3:uid="{00000000-0010-0000-0300-000001000000}" name="ID" dataDxfId="4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el4" displayName="Tabel4" ref="A1:D21" totalsRowShown="0" headerRowDxfId="41" dataDxfId="40">
  <autoFilter ref="A1:D21" xr:uid="{00000000-0009-0000-0100-000004000000}"/>
  <tableColumns count="4">
    <tableColumn id="2" xr3:uid="{00000000-0010-0000-0400-000002000000}" name="Name" dataDxfId="39"/>
    <tableColumn id="1" xr3:uid="{00000000-0010-0000-0400-000001000000}" name="ID" dataDxfId="38"/>
    <tableColumn id="3" xr3:uid="{00000000-0010-0000-0400-000003000000}" name="Role" dataDxfId="37"/>
    <tableColumn id="4" xr3:uid="{772B95C9-D510-4377-B677-121AEDEC5E31}" name="Salery" dataDxfId="3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el5" displayName="Tabel5" ref="A1:B11" totalsRowShown="0" headerRowDxfId="35" dataDxfId="34">
  <autoFilter ref="A1:B11" xr:uid="{00000000-0009-0000-0100-000005000000}"/>
  <tableColumns count="2">
    <tableColumn id="2" xr3:uid="{00000000-0010-0000-0500-000002000000}" name="NAME" dataDxfId="33"/>
    <tableColumn id="1" xr3:uid="{00000000-0010-0000-0500-000001000000}" name="ID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Tabel1" displayName="Tabel1" ref="A1:D57" totalsRowShown="0" headerRowDxfId="31" dataDxfId="30">
  <tableColumns count="4">
    <tableColumn id="2" xr3:uid="{00000000-0010-0000-0600-000002000000}" name="Date" dataDxfId="29"/>
    <tableColumn id="3" xr3:uid="{00000000-0010-0000-0600-000003000000}" name="Weekday" dataDxfId="28"/>
    <tableColumn id="8" xr3:uid="{00000000-0010-0000-0600-000008000000}" name="Time_string" dataDxfId="27"/>
    <tableColumn id="1" xr3:uid="{00000000-0010-0000-0600-000001000000}" name="ID" dataDxfId="2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el6" displayName="Tabel6" ref="A1:H32" totalsRowShown="0" headerRowDxfId="25" dataDxfId="24">
  <autoFilter ref="A1:H32" xr:uid="{00000000-0009-0000-0100-000006000000}"/>
  <tableColumns count="8">
    <tableColumn id="1" xr3:uid="{00000000-0010-0000-0700-000001000000}" name="ID" dataDxfId="23"/>
    <tableColumn id="2" xr3:uid="{00000000-0010-0000-0700-000002000000}" name="Group" dataDxfId="22"/>
    <tableColumn id="6" xr3:uid="{00000000-0010-0000-0700-000006000000}" name="Subject" dataDxfId="21"/>
    <tableColumn id="3" xr3:uid="{00000000-0010-0000-0700-000003000000}" name="Subject_ID" dataDxfId="20"/>
    <tableColumn id="7" xr3:uid="{00000000-0010-0000-0700-000007000000}" name="Supervisor" dataDxfId="19"/>
    <tableColumn id="4" xr3:uid="{00000000-0010-0000-0700-000004000000}" name="Supervisor_ID" dataDxfId="18"/>
    <tableColumn id="8" xr3:uid="{00000000-0010-0000-0700-000008000000}" name="CO_Supervisor" dataDxfId="17"/>
    <tableColumn id="5" xr3:uid="{00000000-0010-0000-0700-000005000000}" name="Co_supervisor_ID" dataDxfId="1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Tabel81112" displayName="Tabel81112" ref="A1:F161" totalsRowShown="0" headerRowDxfId="15" dataDxfId="14">
  <autoFilter ref="A1:F161" xr:uid="{00000000-0009-0000-0100-00000B000000}"/>
  <tableColumns count="6">
    <tableColumn id="1" xr3:uid="{00000000-0010-0000-0800-000001000000}" name="ID" dataDxfId="13"/>
    <tableColumn id="12" xr3:uid="{00000000-0010-0000-0800-00000C000000}" name="Dato" dataDxfId="12"/>
    <tableColumn id="7" xr3:uid="{00000000-0010-0000-0800-000007000000}" name="Timeslot" dataDxfId="11"/>
    <tableColumn id="2" xr3:uid="{00000000-0010-0000-0800-000002000000}" name="Timeslot_ID" dataDxfId="10"/>
    <tableColumn id="9" xr3:uid="{00000000-0010-0000-0800-000009000000}" name="Ressource_type" dataDxfId="9"/>
    <tableColumn id="14" xr3:uid="{00000000-0010-0000-0800-00000E000000}" name="Ressource_type_ID" dataDxfId="8">
      <calculatedColumnFormula>IFERROR( VLOOKUP(Tabel81112[[#This Row],[Ressource_type]],Tabel4[#All],2,1),"")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el811" displayName="Tabel811" ref="A1:F161" totalsRowShown="0" headerRowDxfId="7" dataDxfId="6">
  <autoFilter ref="A1:F161" xr:uid="{00000000-0009-0000-0100-00000A000000}"/>
  <tableColumns count="6">
    <tableColumn id="1" xr3:uid="{00000000-0010-0000-0900-000001000000}" name="ID" dataDxfId="5"/>
    <tableColumn id="12" xr3:uid="{00000000-0010-0000-0900-00000C000000}" name="Dato" dataDxfId="4"/>
    <tableColumn id="7" xr3:uid="{00000000-0010-0000-0900-000007000000}" name="Timeslot" dataDxfId="3"/>
    <tableColumn id="2" xr3:uid="{00000000-0010-0000-0900-000002000000}" name="Timeslot_ID" dataDxfId="2"/>
    <tableColumn id="9" xr3:uid="{00000000-0010-0000-0900-000009000000}" name="Ressource_type" dataDxfId="1"/>
    <tableColumn id="14" xr3:uid="{00000000-0010-0000-0900-00000E000000}" name="Ressource_type_ID" dataDxfId="0">
      <calculatedColumnFormula>IFERROR( VLOOKUP(Tabel811[[#This Row],[Ressource_type]],Tabel7[#All],2,0),"")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8"/>
  <dimension ref="A1:B9"/>
  <sheetViews>
    <sheetView zoomScale="145" zoomScaleNormal="145" workbookViewId="0">
      <selection activeCell="I9" sqref="I9"/>
    </sheetView>
  </sheetViews>
  <sheetFormatPr defaultRowHeight="14.4" x14ac:dyDescent="0.3"/>
  <cols>
    <col min="1" max="1" width="10.6640625" bestFit="1" customWidth="1"/>
  </cols>
  <sheetData>
    <row r="1" spans="1:2" x14ac:dyDescent="0.3">
      <c r="A1" t="s">
        <v>101</v>
      </c>
      <c r="B1" t="s">
        <v>102</v>
      </c>
    </row>
    <row r="2" spans="1:2" x14ac:dyDescent="0.3">
      <c r="A2" s="2">
        <v>43052</v>
      </c>
      <c r="B2" s="1" t="s">
        <v>88</v>
      </c>
    </row>
    <row r="3" spans="1:2" x14ac:dyDescent="0.3">
      <c r="A3" s="2">
        <v>43053</v>
      </c>
      <c r="B3" s="1" t="s">
        <v>89</v>
      </c>
    </row>
    <row r="4" spans="1:2" x14ac:dyDescent="0.3">
      <c r="A4" s="2">
        <v>43054</v>
      </c>
      <c r="B4" s="1" t="s">
        <v>90</v>
      </c>
    </row>
    <row r="5" spans="1:2" x14ac:dyDescent="0.3">
      <c r="A5" s="2">
        <v>43055</v>
      </c>
      <c r="B5" s="1" t="s">
        <v>91</v>
      </c>
    </row>
    <row r="6" spans="1:2" x14ac:dyDescent="0.3">
      <c r="A6" s="2">
        <v>43056</v>
      </c>
      <c r="B6" s="1" t="s">
        <v>92</v>
      </c>
    </row>
    <row r="7" spans="1:2" x14ac:dyDescent="0.3">
      <c r="A7" s="2">
        <v>43059</v>
      </c>
      <c r="B7" s="1" t="s">
        <v>93</v>
      </c>
    </row>
    <row r="8" spans="1:2" x14ac:dyDescent="0.3">
      <c r="A8" s="2">
        <v>43060</v>
      </c>
      <c r="B8" s="1" t="s">
        <v>94</v>
      </c>
    </row>
    <row r="9" spans="1:2" x14ac:dyDescent="0.3">
      <c r="A9" s="2"/>
      <c r="B9" s="1" t="s">
        <v>95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6"/>
  <dimension ref="A1:B8"/>
  <sheetViews>
    <sheetView tabSelected="1" zoomScale="220" zoomScaleNormal="220" workbookViewId="0">
      <selection activeCell="A6" sqref="A6:A8"/>
    </sheetView>
  </sheetViews>
  <sheetFormatPr defaultRowHeight="14.4" x14ac:dyDescent="0.3"/>
  <cols>
    <col min="1" max="1" width="15.33203125" bestFit="1" customWidth="1"/>
    <col min="2" max="2" width="7.33203125" bestFit="1" customWidth="1"/>
  </cols>
  <sheetData>
    <row r="1" spans="1:2" x14ac:dyDescent="0.3">
      <c r="A1" s="5" t="s">
        <v>82</v>
      </c>
      <c r="B1" s="1" t="s">
        <v>0</v>
      </c>
    </row>
    <row r="2" spans="1:2" x14ac:dyDescent="0.3">
      <c r="A2" s="6" t="s">
        <v>105</v>
      </c>
      <c r="B2" s="1">
        <v>0</v>
      </c>
    </row>
    <row r="3" spans="1:2" x14ac:dyDescent="0.3">
      <c r="A3" s="6" t="s">
        <v>109</v>
      </c>
      <c r="B3" s="1">
        <v>2</v>
      </c>
    </row>
    <row r="4" spans="1:2" x14ac:dyDescent="0.3">
      <c r="A4" s="4" t="s">
        <v>104</v>
      </c>
      <c r="B4" s="1">
        <v>1</v>
      </c>
    </row>
    <row r="7" spans="1:2" x14ac:dyDescent="0.3">
      <c r="A7" s="12"/>
    </row>
    <row r="8" spans="1:2" x14ac:dyDescent="0.3">
      <c r="A8" s="12"/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1"/>
  <dimension ref="A1:D8"/>
  <sheetViews>
    <sheetView zoomScale="200" zoomScaleNormal="200" workbookViewId="0">
      <selection activeCell="A8" sqref="A8"/>
    </sheetView>
  </sheetViews>
  <sheetFormatPr defaultRowHeight="14.4" x14ac:dyDescent="0.3"/>
  <cols>
    <col min="1" max="1" width="10.6640625" bestFit="1" customWidth="1"/>
    <col min="2" max="2" width="7.33203125" bestFit="1" customWidth="1"/>
    <col min="3" max="3" width="15.33203125" bestFit="1" customWidth="1"/>
  </cols>
  <sheetData>
    <row r="1" spans="1:4" x14ac:dyDescent="0.3">
      <c r="A1" s="1" t="s">
        <v>78</v>
      </c>
      <c r="B1" s="1" t="s">
        <v>0</v>
      </c>
      <c r="C1" s="1" t="s">
        <v>79</v>
      </c>
      <c r="D1" s="1" t="s">
        <v>108</v>
      </c>
    </row>
    <row r="2" spans="1:4" x14ac:dyDescent="0.3">
      <c r="A2" s="1" t="s">
        <v>1</v>
      </c>
      <c r="B2" s="1">
        <v>1</v>
      </c>
      <c r="C2" s="1" t="s">
        <v>105</v>
      </c>
      <c r="D2" s="1">
        <f>VLOOKUP(Tabel2[[#This Row],[TYPE]],Tabel7[],2,0)</f>
        <v>0</v>
      </c>
    </row>
    <row r="3" spans="1:4" x14ac:dyDescent="0.3">
      <c r="A3" s="1" t="s">
        <v>2</v>
      </c>
      <c r="B3" s="1">
        <v>2</v>
      </c>
      <c r="C3" s="1" t="s">
        <v>105</v>
      </c>
      <c r="D3" s="1">
        <f>VLOOKUP(Tabel2[[#This Row],[TYPE]],Tabel7[],2,0)</f>
        <v>0</v>
      </c>
    </row>
    <row r="4" spans="1:4" x14ac:dyDescent="0.3">
      <c r="A4" s="1" t="s">
        <v>3</v>
      </c>
      <c r="B4" s="1">
        <v>3</v>
      </c>
      <c r="C4" s="1" t="s">
        <v>105</v>
      </c>
      <c r="D4" s="1">
        <f>VLOOKUP(Tabel2[[#This Row],[TYPE]],Tabel7[],2,0)</f>
        <v>0</v>
      </c>
    </row>
    <row r="5" spans="1:4" x14ac:dyDescent="0.3">
      <c r="A5" s="1" t="s">
        <v>73</v>
      </c>
      <c r="B5" s="1">
        <v>4</v>
      </c>
      <c r="C5" s="1" t="s">
        <v>109</v>
      </c>
      <c r="D5" s="1">
        <f>VLOOKUP(Tabel2[[#This Row],[TYPE]],Tabel7[],2,0)</f>
        <v>2</v>
      </c>
    </row>
    <row r="6" spans="1:4" x14ac:dyDescent="0.3">
      <c r="A6" s="1" t="s">
        <v>74</v>
      </c>
      <c r="B6" s="1">
        <v>5</v>
      </c>
      <c r="C6" s="1" t="s">
        <v>109</v>
      </c>
      <c r="D6" s="1">
        <f>VLOOKUP(Tabel2[[#This Row],[TYPE]],Tabel7[],2,0)</f>
        <v>2</v>
      </c>
    </row>
    <row r="8" spans="1:4" x14ac:dyDescent="0.3">
      <c r="A8" s="9"/>
    </row>
  </sheetData>
  <dataValidations count="1">
    <dataValidation type="list" allowBlank="1" showInputMessage="1" showErrorMessage="1" sqref="C2:C6" xr:uid="{00000000-0002-0000-0200-000000000000}">
      <formula1>ResourceTypes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2"/>
  <dimension ref="A1:B7"/>
  <sheetViews>
    <sheetView workbookViewId="0">
      <selection activeCell="P35" sqref="P35"/>
    </sheetView>
  </sheetViews>
  <sheetFormatPr defaultRowHeight="14.4" x14ac:dyDescent="0.3"/>
  <cols>
    <col min="1" max="1" width="21" bestFit="1" customWidth="1"/>
    <col min="2" max="2" width="7.33203125" bestFit="1" customWidth="1"/>
  </cols>
  <sheetData>
    <row r="1" spans="1:2" x14ac:dyDescent="0.3">
      <c r="A1" s="1" t="s">
        <v>76</v>
      </c>
      <c r="B1" s="1" t="s">
        <v>0</v>
      </c>
    </row>
    <row r="2" spans="1:2" x14ac:dyDescent="0.3">
      <c r="A2" s="1" t="s">
        <v>25</v>
      </c>
      <c r="B2" s="1">
        <v>1</v>
      </c>
    </row>
    <row r="3" spans="1:2" x14ac:dyDescent="0.3">
      <c r="A3" s="1" t="s">
        <v>26</v>
      </c>
      <c r="B3" s="1">
        <v>2</v>
      </c>
    </row>
    <row r="4" spans="1:2" x14ac:dyDescent="0.3">
      <c r="A4" s="1" t="s">
        <v>75</v>
      </c>
      <c r="B4" s="1">
        <v>4</v>
      </c>
    </row>
    <row r="7" spans="1:2" x14ac:dyDescent="0.3">
      <c r="A7" s="9"/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3"/>
  <dimension ref="A1:D21"/>
  <sheetViews>
    <sheetView zoomScale="160" zoomScaleNormal="160" workbookViewId="0">
      <selection activeCell="E24" sqref="E24"/>
    </sheetView>
  </sheetViews>
  <sheetFormatPr defaultRowHeight="14.4" x14ac:dyDescent="0.3"/>
  <cols>
    <col min="1" max="1" width="23.6640625" bestFit="1" customWidth="1"/>
    <col min="2" max="2" width="7.33203125" bestFit="1" customWidth="1"/>
  </cols>
  <sheetData>
    <row r="1" spans="1:4" x14ac:dyDescent="0.3">
      <c r="A1" s="1" t="s">
        <v>77</v>
      </c>
      <c r="B1" s="1" t="s">
        <v>0</v>
      </c>
      <c r="C1" s="1" t="s">
        <v>76</v>
      </c>
      <c r="D1" s="1" t="s">
        <v>110</v>
      </c>
    </row>
    <row r="2" spans="1:4" x14ac:dyDescent="0.3">
      <c r="A2" s="10" t="s">
        <v>4</v>
      </c>
      <c r="B2" s="1">
        <v>1</v>
      </c>
      <c r="C2" s="1">
        <v>1</v>
      </c>
      <c r="D2" s="1">
        <v>120</v>
      </c>
    </row>
    <row r="3" spans="1:4" x14ac:dyDescent="0.3">
      <c r="A3" s="11" t="s">
        <v>5</v>
      </c>
      <c r="B3" s="1">
        <v>2</v>
      </c>
      <c r="C3" s="1">
        <v>2</v>
      </c>
      <c r="D3" s="1">
        <v>120</v>
      </c>
    </row>
    <row r="4" spans="1:4" x14ac:dyDescent="0.3">
      <c r="A4" s="10" t="s">
        <v>6</v>
      </c>
      <c r="B4" s="1">
        <v>3</v>
      </c>
      <c r="C4" s="1">
        <v>6</v>
      </c>
      <c r="D4" s="1">
        <v>120</v>
      </c>
    </row>
    <row r="5" spans="1:4" x14ac:dyDescent="0.3">
      <c r="A5" s="11" t="s">
        <v>7</v>
      </c>
      <c r="B5" s="1">
        <v>4</v>
      </c>
      <c r="C5" s="1">
        <v>1</v>
      </c>
      <c r="D5" s="1">
        <v>120</v>
      </c>
    </row>
    <row r="6" spans="1:4" x14ac:dyDescent="0.3">
      <c r="A6" s="10" t="s">
        <v>8</v>
      </c>
      <c r="B6" s="1">
        <v>5</v>
      </c>
      <c r="C6" s="1">
        <v>1</v>
      </c>
      <c r="D6" s="1">
        <v>120</v>
      </c>
    </row>
    <row r="7" spans="1:4" x14ac:dyDescent="0.3">
      <c r="A7" s="11" t="s">
        <v>9</v>
      </c>
      <c r="B7" s="1">
        <v>6</v>
      </c>
      <c r="C7" s="1">
        <v>2</v>
      </c>
      <c r="D7" s="1">
        <v>120</v>
      </c>
    </row>
    <row r="8" spans="1:4" x14ac:dyDescent="0.3">
      <c r="A8" s="10" t="s">
        <v>10</v>
      </c>
      <c r="B8" s="1">
        <v>7</v>
      </c>
      <c r="C8" s="1">
        <v>4</v>
      </c>
      <c r="D8" s="1">
        <v>120</v>
      </c>
    </row>
    <row r="9" spans="1:4" x14ac:dyDescent="0.3">
      <c r="A9" s="11" t="s">
        <v>11</v>
      </c>
      <c r="B9" s="1">
        <v>8</v>
      </c>
      <c r="C9" s="1">
        <v>1</v>
      </c>
      <c r="D9" s="1">
        <v>120</v>
      </c>
    </row>
    <row r="10" spans="1:4" x14ac:dyDescent="0.3">
      <c r="A10" s="10" t="s">
        <v>12</v>
      </c>
      <c r="B10" s="1">
        <v>9</v>
      </c>
      <c r="C10" s="1">
        <v>2</v>
      </c>
      <c r="D10" s="1">
        <v>120</v>
      </c>
    </row>
    <row r="11" spans="1:4" x14ac:dyDescent="0.3">
      <c r="A11" s="11" t="s">
        <v>13</v>
      </c>
      <c r="B11" s="1">
        <v>10</v>
      </c>
      <c r="C11" s="1">
        <v>1</v>
      </c>
      <c r="D11" s="1">
        <v>120</v>
      </c>
    </row>
    <row r="12" spans="1:4" x14ac:dyDescent="0.3">
      <c r="A12" s="10" t="s">
        <v>14</v>
      </c>
      <c r="B12" s="1">
        <v>11</v>
      </c>
      <c r="C12" s="1">
        <v>1</v>
      </c>
      <c r="D12" s="1">
        <v>120</v>
      </c>
    </row>
    <row r="13" spans="1:4" x14ac:dyDescent="0.3">
      <c r="A13" s="11" t="s">
        <v>15</v>
      </c>
      <c r="B13" s="1">
        <v>12</v>
      </c>
      <c r="C13" s="1">
        <v>2</v>
      </c>
      <c r="D13" s="1">
        <v>200</v>
      </c>
    </row>
    <row r="14" spans="1:4" x14ac:dyDescent="0.3">
      <c r="A14" s="10" t="s">
        <v>16</v>
      </c>
      <c r="B14" s="1">
        <v>13</v>
      </c>
      <c r="C14" s="1">
        <v>1</v>
      </c>
      <c r="D14" s="1">
        <v>120</v>
      </c>
    </row>
    <row r="15" spans="1:4" x14ac:dyDescent="0.3">
      <c r="A15" s="11" t="s">
        <v>17</v>
      </c>
      <c r="B15" s="1">
        <v>14</v>
      </c>
      <c r="C15" s="1">
        <v>1</v>
      </c>
      <c r="D15" s="1">
        <v>120</v>
      </c>
    </row>
    <row r="16" spans="1:4" x14ac:dyDescent="0.3">
      <c r="A16" s="10" t="s">
        <v>18</v>
      </c>
      <c r="B16" s="1">
        <v>15</v>
      </c>
      <c r="C16" s="1">
        <v>2</v>
      </c>
      <c r="D16" s="1">
        <v>200</v>
      </c>
    </row>
    <row r="17" spans="1:4" x14ac:dyDescent="0.3">
      <c r="A17" s="11" t="s">
        <v>19</v>
      </c>
      <c r="B17" s="1">
        <v>16</v>
      </c>
      <c r="C17" s="1">
        <v>1</v>
      </c>
      <c r="D17" s="1">
        <v>120</v>
      </c>
    </row>
    <row r="18" spans="1:4" x14ac:dyDescent="0.3">
      <c r="A18" s="10" t="s">
        <v>20</v>
      </c>
      <c r="B18" s="1">
        <v>17</v>
      </c>
      <c r="C18" s="1">
        <v>2</v>
      </c>
      <c r="D18" s="1">
        <v>120</v>
      </c>
    </row>
    <row r="19" spans="1:4" x14ac:dyDescent="0.3">
      <c r="A19" s="11" t="s">
        <v>21</v>
      </c>
      <c r="B19" s="1">
        <v>18</v>
      </c>
      <c r="C19" s="1">
        <v>4</v>
      </c>
      <c r="D19" s="1">
        <v>120</v>
      </c>
    </row>
    <row r="20" spans="1:4" x14ac:dyDescent="0.3">
      <c r="A20" s="10" t="s">
        <v>22</v>
      </c>
      <c r="B20" s="1">
        <v>19</v>
      </c>
      <c r="C20" s="1">
        <v>1</v>
      </c>
      <c r="D20" s="1">
        <v>120</v>
      </c>
    </row>
    <row r="21" spans="1:4" x14ac:dyDescent="0.3">
      <c r="A21" s="11" t="s">
        <v>23</v>
      </c>
      <c r="B21" s="1">
        <v>20</v>
      </c>
      <c r="C21" s="1">
        <v>2</v>
      </c>
      <c r="D21" s="1">
        <v>120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4"/>
  <dimension ref="A1:B11"/>
  <sheetViews>
    <sheetView zoomScale="145" zoomScaleNormal="145" workbookViewId="0">
      <selection activeCell="H21" sqref="H21"/>
    </sheetView>
  </sheetViews>
  <sheetFormatPr defaultRowHeight="14.4" x14ac:dyDescent="0.3"/>
  <cols>
    <col min="1" max="1" width="30.5546875" bestFit="1" customWidth="1"/>
    <col min="2" max="2" width="7.33203125" bestFit="1" customWidth="1"/>
  </cols>
  <sheetData>
    <row r="1" spans="1:2" x14ac:dyDescent="0.3">
      <c r="A1" s="1" t="s">
        <v>78</v>
      </c>
      <c r="B1" s="1" t="s">
        <v>0</v>
      </c>
    </row>
    <row r="2" spans="1:2" x14ac:dyDescent="0.3">
      <c r="A2" s="1" t="s">
        <v>27</v>
      </c>
      <c r="B2" s="1">
        <v>1</v>
      </c>
    </row>
    <row r="3" spans="1:2" x14ac:dyDescent="0.3">
      <c r="A3" s="1" t="s">
        <v>28</v>
      </c>
      <c r="B3" s="1">
        <v>2</v>
      </c>
    </row>
    <row r="4" spans="1:2" x14ac:dyDescent="0.3">
      <c r="A4" s="1" t="s">
        <v>29</v>
      </c>
      <c r="B4" s="1">
        <v>3</v>
      </c>
    </row>
    <row r="5" spans="1:2" x14ac:dyDescent="0.3">
      <c r="A5" s="1" t="s">
        <v>30</v>
      </c>
      <c r="B5" s="1">
        <v>4</v>
      </c>
    </row>
    <row r="6" spans="1:2" x14ac:dyDescent="0.3">
      <c r="A6" s="1" t="s">
        <v>31</v>
      </c>
      <c r="B6" s="1">
        <v>5</v>
      </c>
    </row>
    <row r="7" spans="1:2" x14ac:dyDescent="0.3">
      <c r="A7" s="1" t="s">
        <v>32</v>
      </c>
      <c r="B7" s="1">
        <v>6</v>
      </c>
    </row>
    <row r="8" spans="1:2" x14ac:dyDescent="0.3">
      <c r="A8" s="1" t="s">
        <v>33</v>
      </c>
      <c r="B8" s="1">
        <v>7</v>
      </c>
    </row>
    <row r="9" spans="1:2" x14ac:dyDescent="0.3">
      <c r="A9" s="1" t="s">
        <v>34</v>
      </c>
      <c r="B9" s="1">
        <v>8</v>
      </c>
    </row>
    <row r="10" spans="1:2" x14ac:dyDescent="0.3">
      <c r="A10" s="1" t="s">
        <v>35</v>
      </c>
      <c r="B10" s="1">
        <v>9</v>
      </c>
    </row>
    <row r="11" spans="1:2" x14ac:dyDescent="0.3">
      <c r="A11" s="1" t="s">
        <v>36</v>
      </c>
      <c r="B11" s="1">
        <v>10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7"/>
  <dimension ref="A1:F57"/>
  <sheetViews>
    <sheetView zoomScaleNormal="100" workbookViewId="0">
      <selection activeCell="S32" sqref="S32"/>
    </sheetView>
  </sheetViews>
  <sheetFormatPr defaultRowHeight="14.4" x14ac:dyDescent="0.3"/>
  <cols>
    <col min="1" max="1" width="10.44140625" style="2" bestFit="1" customWidth="1"/>
    <col min="2" max="2" width="10.6640625" style="1" customWidth="1"/>
    <col min="3" max="3" width="12.6640625" style="1" customWidth="1"/>
    <col min="4" max="4" width="8.88671875" style="1"/>
    <col min="10" max="10" width="10.33203125" bestFit="1" customWidth="1"/>
  </cols>
  <sheetData>
    <row r="1" spans="1:6" x14ac:dyDescent="0.3">
      <c r="A1" s="1" t="s">
        <v>83</v>
      </c>
      <c r="B1" s="1" t="s">
        <v>84</v>
      </c>
      <c r="C1" s="1" t="s">
        <v>85</v>
      </c>
      <c r="D1" s="1" t="s">
        <v>0</v>
      </c>
    </row>
    <row r="2" spans="1:6" x14ac:dyDescent="0.3">
      <c r="A2" s="2">
        <v>43052</v>
      </c>
      <c r="B2" s="1" t="s">
        <v>68</v>
      </c>
      <c r="C2" s="1" t="s">
        <v>88</v>
      </c>
      <c r="D2" s="1">
        <v>1</v>
      </c>
      <c r="E2" s="3"/>
      <c r="F2" s="3"/>
    </row>
    <row r="3" spans="1:6" x14ac:dyDescent="0.3">
      <c r="A3" s="2">
        <v>43052</v>
      </c>
      <c r="B3" s="1" t="s">
        <v>68</v>
      </c>
      <c r="C3" s="1" t="s">
        <v>89</v>
      </c>
      <c r="D3" s="1">
        <v>2</v>
      </c>
      <c r="E3" s="3"/>
      <c r="F3" s="3"/>
    </row>
    <row r="4" spans="1:6" x14ac:dyDescent="0.3">
      <c r="A4" s="2">
        <v>43052</v>
      </c>
      <c r="B4" s="1" t="s">
        <v>68</v>
      </c>
      <c r="C4" s="1" t="s">
        <v>90</v>
      </c>
      <c r="D4" s="1">
        <v>3</v>
      </c>
      <c r="E4" s="3"/>
      <c r="F4" s="3"/>
    </row>
    <row r="5" spans="1:6" x14ac:dyDescent="0.3">
      <c r="A5" s="2">
        <v>43052</v>
      </c>
      <c r="B5" s="1" t="s">
        <v>68</v>
      </c>
      <c r="C5" s="1" t="s">
        <v>91</v>
      </c>
      <c r="D5" s="1">
        <v>4</v>
      </c>
      <c r="E5" s="3"/>
      <c r="F5" s="3"/>
    </row>
    <row r="6" spans="1:6" x14ac:dyDescent="0.3">
      <c r="A6" s="2">
        <v>43052</v>
      </c>
      <c r="B6" s="1" t="s">
        <v>68</v>
      </c>
      <c r="C6" s="1" t="s">
        <v>92</v>
      </c>
      <c r="D6" s="1">
        <v>5</v>
      </c>
      <c r="E6" s="3"/>
      <c r="F6" s="3"/>
    </row>
    <row r="7" spans="1:6" x14ac:dyDescent="0.3">
      <c r="A7" s="2">
        <v>43052</v>
      </c>
      <c r="B7" s="1" t="s">
        <v>68</v>
      </c>
      <c r="C7" s="1" t="s">
        <v>93</v>
      </c>
      <c r="D7" s="1">
        <v>6</v>
      </c>
      <c r="E7" s="3"/>
      <c r="F7" s="3"/>
    </row>
    <row r="8" spans="1:6" x14ac:dyDescent="0.3">
      <c r="A8" s="2">
        <v>43052</v>
      </c>
      <c r="B8" s="1" t="s">
        <v>68</v>
      </c>
      <c r="C8" s="1" t="s">
        <v>94</v>
      </c>
      <c r="D8" s="1">
        <v>7</v>
      </c>
      <c r="E8" s="3"/>
      <c r="F8" s="3"/>
    </row>
    <row r="9" spans="1:6" x14ac:dyDescent="0.3">
      <c r="A9" s="2">
        <v>43052</v>
      </c>
      <c r="B9" s="1" t="s">
        <v>68</v>
      </c>
      <c r="C9" s="1" t="s">
        <v>95</v>
      </c>
      <c r="D9" s="1">
        <v>8</v>
      </c>
      <c r="E9" s="3"/>
      <c r="F9" s="3"/>
    </row>
    <row r="10" spans="1:6" x14ac:dyDescent="0.3">
      <c r="A10" s="2">
        <v>43053</v>
      </c>
      <c r="B10" s="1" t="s">
        <v>69</v>
      </c>
      <c r="C10" s="1" t="s">
        <v>88</v>
      </c>
      <c r="D10" s="1">
        <v>9</v>
      </c>
      <c r="E10" s="3"/>
      <c r="F10" s="3"/>
    </row>
    <row r="11" spans="1:6" x14ac:dyDescent="0.3">
      <c r="A11" s="2">
        <v>43053</v>
      </c>
      <c r="B11" s="1" t="s">
        <v>69</v>
      </c>
      <c r="C11" s="1" t="s">
        <v>89</v>
      </c>
      <c r="D11" s="1">
        <v>10</v>
      </c>
      <c r="E11" s="3"/>
      <c r="F11" s="3"/>
    </row>
    <row r="12" spans="1:6" x14ac:dyDescent="0.3">
      <c r="A12" s="2">
        <v>43053</v>
      </c>
      <c r="B12" s="1" t="s">
        <v>69</v>
      </c>
      <c r="C12" s="1" t="s">
        <v>90</v>
      </c>
      <c r="D12" s="1">
        <v>11</v>
      </c>
      <c r="E12" s="3"/>
      <c r="F12" s="9"/>
    </row>
    <row r="13" spans="1:6" x14ac:dyDescent="0.3">
      <c r="A13" s="2">
        <v>43053</v>
      </c>
      <c r="B13" s="1" t="s">
        <v>69</v>
      </c>
      <c r="C13" s="1" t="s">
        <v>91</v>
      </c>
      <c r="D13" s="1">
        <v>12</v>
      </c>
      <c r="E13" s="3"/>
      <c r="F13" s="3"/>
    </row>
    <row r="14" spans="1:6" x14ac:dyDescent="0.3">
      <c r="A14" s="2">
        <v>43053</v>
      </c>
      <c r="B14" s="1" t="s">
        <v>69</v>
      </c>
      <c r="C14" s="1" t="s">
        <v>92</v>
      </c>
      <c r="D14" s="1">
        <v>13</v>
      </c>
      <c r="E14" s="3"/>
      <c r="F14" s="3"/>
    </row>
    <row r="15" spans="1:6" x14ac:dyDescent="0.3">
      <c r="A15" s="2">
        <v>43053</v>
      </c>
      <c r="B15" s="1" t="s">
        <v>69</v>
      </c>
      <c r="C15" s="1" t="s">
        <v>93</v>
      </c>
      <c r="D15" s="1">
        <v>14</v>
      </c>
      <c r="E15" s="3"/>
      <c r="F15" s="3"/>
    </row>
    <row r="16" spans="1:6" x14ac:dyDescent="0.3">
      <c r="A16" s="2">
        <v>43053</v>
      </c>
      <c r="B16" s="1" t="s">
        <v>69</v>
      </c>
      <c r="C16" s="1" t="s">
        <v>94</v>
      </c>
      <c r="D16" s="1">
        <v>15</v>
      </c>
      <c r="E16" s="3"/>
      <c r="F16" s="3"/>
    </row>
    <row r="17" spans="1:6" x14ac:dyDescent="0.3">
      <c r="A17" s="2">
        <v>43053</v>
      </c>
      <c r="B17" s="1" t="s">
        <v>69</v>
      </c>
      <c r="C17" s="1" t="s">
        <v>95</v>
      </c>
      <c r="D17" s="1">
        <v>16</v>
      </c>
      <c r="E17" s="3"/>
      <c r="F17" s="3"/>
    </row>
    <row r="18" spans="1:6" x14ac:dyDescent="0.3">
      <c r="A18" s="2">
        <v>43054</v>
      </c>
      <c r="B18" s="1" t="s">
        <v>70</v>
      </c>
      <c r="C18" s="1" t="s">
        <v>88</v>
      </c>
      <c r="D18" s="1">
        <v>17</v>
      </c>
      <c r="E18" s="3"/>
      <c r="F18" s="3"/>
    </row>
    <row r="19" spans="1:6" x14ac:dyDescent="0.3">
      <c r="A19" s="2">
        <v>43054</v>
      </c>
      <c r="B19" s="1" t="s">
        <v>70</v>
      </c>
      <c r="C19" s="1" t="s">
        <v>89</v>
      </c>
      <c r="D19" s="1">
        <v>18</v>
      </c>
      <c r="E19" s="3"/>
      <c r="F19" s="3"/>
    </row>
    <row r="20" spans="1:6" x14ac:dyDescent="0.3">
      <c r="A20" s="2">
        <v>43054</v>
      </c>
      <c r="B20" s="1" t="s">
        <v>70</v>
      </c>
      <c r="C20" s="1" t="s">
        <v>90</v>
      </c>
      <c r="D20" s="1">
        <v>19</v>
      </c>
      <c r="E20" s="3"/>
      <c r="F20" s="3"/>
    </row>
    <row r="21" spans="1:6" x14ac:dyDescent="0.3">
      <c r="A21" s="2">
        <v>43054</v>
      </c>
      <c r="B21" s="1" t="s">
        <v>70</v>
      </c>
      <c r="C21" s="1" t="s">
        <v>91</v>
      </c>
      <c r="D21" s="1">
        <v>20</v>
      </c>
      <c r="E21" s="3"/>
      <c r="F21" s="3"/>
    </row>
    <row r="22" spans="1:6" x14ac:dyDescent="0.3">
      <c r="A22" s="2">
        <v>43054</v>
      </c>
      <c r="B22" s="1" t="s">
        <v>70</v>
      </c>
      <c r="C22" s="1" t="s">
        <v>92</v>
      </c>
      <c r="D22" s="1">
        <v>21</v>
      </c>
      <c r="E22" s="3"/>
      <c r="F22" s="3"/>
    </row>
    <row r="23" spans="1:6" x14ac:dyDescent="0.3">
      <c r="A23" s="2">
        <v>43054</v>
      </c>
      <c r="B23" s="1" t="s">
        <v>70</v>
      </c>
      <c r="C23" s="1" t="s">
        <v>93</v>
      </c>
      <c r="D23" s="1">
        <v>22</v>
      </c>
      <c r="E23" s="3"/>
      <c r="F23" s="3"/>
    </row>
    <row r="24" spans="1:6" x14ac:dyDescent="0.3">
      <c r="A24" s="2">
        <v>43054</v>
      </c>
      <c r="B24" s="1" t="s">
        <v>70</v>
      </c>
      <c r="C24" s="1" t="s">
        <v>94</v>
      </c>
      <c r="D24" s="1">
        <v>23</v>
      </c>
      <c r="E24" s="3"/>
      <c r="F24" s="3"/>
    </row>
    <row r="25" spans="1:6" x14ac:dyDescent="0.3">
      <c r="A25" s="2">
        <v>43054</v>
      </c>
      <c r="B25" s="1" t="s">
        <v>70</v>
      </c>
      <c r="C25" s="1" t="s">
        <v>95</v>
      </c>
      <c r="D25" s="1">
        <v>24</v>
      </c>
      <c r="E25" s="3"/>
      <c r="F25" s="3"/>
    </row>
    <row r="26" spans="1:6" x14ac:dyDescent="0.3">
      <c r="A26" s="2">
        <v>43055</v>
      </c>
      <c r="B26" s="1" t="s">
        <v>71</v>
      </c>
      <c r="C26" s="1" t="s">
        <v>88</v>
      </c>
      <c r="D26" s="1">
        <v>25</v>
      </c>
      <c r="E26" s="3"/>
      <c r="F26" s="3"/>
    </row>
    <row r="27" spans="1:6" x14ac:dyDescent="0.3">
      <c r="A27" s="2">
        <v>43055</v>
      </c>
      <c r="B27" s="1" t="s">
        <v>71</v>
      </c>
      <c r="C27" s="1" t="s">
        <v>89</v>
      </c>
      <c r="D27" s="1">
        <v>26</v>
      </c>
      <c r="E27" s="3"/>
      <c r="F27" s="3"/>
    </row>
    <row r="28" spans="1:6" x14ac:dyDescent="0.3">
      <c r="A28" s="2">
        <v>43055</v>
      </c>
      <c r="B28" s="1" t="s">
        <v>71</v>
      </c>
      <c r="C28" s="1" t="s">
        <v>90</v>
      </c>
      <c r="D28" s="1">
        <v>27</v>
      </c>
      <c r="E28" s="3"/>
      <c r="F28" s="3"/>
    </row>
    <row r="29" spans="1:6" x14ac:dyDescent="0.3">
      <c r="A29" s="2">
        <v>43055</v>
      </c>
      <c r="B29" s="1" t="s">
        <v>71</v>
      </c>
      <c r="C29" s="1" t="s">
        <v>91</v>
      </c>
      <c r="D29" s="1">
        <v>28</v>
      </c>
      <c r="E29" s="3"/>
      <c r="F29" s="3"/>
    </row>
    <row r="30" spans="1:6" x14ac:dyDescent="0.3">
      <c r="A30" s="2">
        <v>43055</v>
      </c>
      <c r="B30" s="1" t="s">
        <v>71</v>
      </c>
      <c r="C30" s="1" t="s">
        <v>92</v>
      </c>
      <c r="D30" s="1">
        <v>29</v>
      </c>
      <c r="E30" s="3"/>
      <c r="F30" s="3"/>
    </row>
    <row r="31" spans="1:6" x14ac:dyDescent="0.3">
      <c r="A31" s="2">
        <v>43055</v>
      </c>
      <c r="B31" s="1" t="s">
        <v>71</v>
      </c>
      <c r="C31" s="1" t="s">
        <v>93</v>
      </c>
      <c r="D31" s="1">
        <v>30</v>
      </c>
      <c r="E31" s="3"/>
      <c r="F31" s="3"/>
    </row>
    <row r="32" spans="1:6" x14ac:dyDescent="0.3">
      <c r="A32" s="2">
        <v>43055</v>
      </c>
      <c r="B32" s="1" t="s">
        <v>71</v>
      </c>
      <c r="C32" s="1" t="s">
        <v>94</v>
      </c>
      <c r="D32" s="1">
        <v>31</v>
      </c>
      <c r="E32" s="3"/>
      <c r="F32" s="3"/>
    </row>
    <row r="33" spans="1:6" x14ac:dyDescent="0.3">
      <c r="A33" s="2">
        <v>43055</v>
      </c>
      <c r="B33" s="1" t="s">
        <v>71</v>
      </c>
      <c r="C33" s="1" t="s">
        <v>95</v>
      </c>
      <c r="D33" s="1">
        <v>32</v>
      </c>
      <c r="E33" s="3"/>
      <c r="F33" s="3"/>
    </row>
    <row r="34" spans="1:6" x14ac:dyDescent="0.3">
      <c r="A34" s="2">
        <v>43056</v>
      </c>
      <c r="B34" s="1" t="s">
        <v>72</v>
      </c>
      <c r="C34" s="1" t="s">
        <v>88</v>
      </c>
      <c r="D34" s="1">
        <v>33</v>
      </c>
      <c r="E34" s="3"/>
      <c r="F34" s="3"/>
    </row>
    <row r="35" spans="1:6" x14ac:dyDescent="0.3">
      <c r="A35" s="2">
        <v>43056</v>
      </c>
      <c r="B35" s="1" t="s">
        <v>72</v>
      </c>
      <c r="C35" s="1" t="s">
        <v>89</v>
      </c>
      <c r="D35" s="1">
        <v>34</v>
      </c>
      <c r="E35" s="3"/>
      <c r="F35" s="3"/>
    </row>
    <row r="36" spans="1:6" x14ac:dyDescent="0.3">
      <c r="A36" s="2">
        <v>43056</v>
      </c>
      <c r="B36" s="1" t="s">
        <v>72</v>
      </c>
      <c r="C36" s="1" t="s">
        <v>90</v>
      </c>
      <c r="D36" s="1">
        <v>35</v>
      </c>
      <c r="E36" s="3"/>
      <c r="F36" s="3"/>
    </row>
    <row r="37" spans="1:6" x14ac:dyDescent="0.3">
      <c r="A37" s="2">
        <v>43056</v>
      </c>
      <c r="B37" s="1" t="s">
        <v>72</v>
      </c>
      <c r="C37" s="1" t="s">
        <v>91</v>
      </c>
      <c r="D37" s="1">
        <v>36</v>
      </c>
      <c r="E37" s="3"/>
      <c r="F37" s="3"/>
    </row>
    <row r="38" spans="1:6" x14ac:dyDescent="0.3">
      <c r="A38" s="2">
        <v>43056</v>
      </c>
      <c r="B38" s="1" t="s">
        <v>72</v>
      </c>
      <c r="C38" s="1" t="s">
        <v>92</v>
      </c>
      <c r="D38" s="1">
        <v>37</v>
      </c>
      <c r="E38" s="3"/>
      <c r="F38" s="3"/>
    </row>
    <row r="39" spans="1:6" x14ac:dyDescent="0.3">
      <c r="A39" s="2">
        <v>43056</v>
      </c>
      <c r="B39" s="1" t="s">
        <v>72</v>
      </c>
      <c r="C39" s="1" t="s">
        <v>93</v>
      </c>
      <c r="D39" s="1">
        <v>38</v>
      </c>
      <c r="E39" s="3"/>
      <c r="F39" s="3"/>
    </row>
    <row r="40" spans="1:6" x14ac:dyDescent="0.3">
      <c r="A40" s="2">
        <v>43056</v>
      </c>
      <c r="B40" s="1" t="s">
        <v>72</v>
      </c>
      <c r="C40" s="1" t="s">
        <v>94</v>
      </c>
      <c r="D40" s="1">
        <v>39</v>
      </c>
      <c r="E40" s="3"/>
      <c r="F40" s="3"/>
    </row>
    <row r="41" spans="1:6" x14ac:dyDescent="0.3">
      <c r="A41" s="2">
        <v>43056</v>
      </c>
      <c r="B41" s="1" t="s">
        <v>72</v>
      </c>
      <c r="C41" s="1" t="s">
        <v>95</v>
      </c>
      <c r="D41" s="1">
        <v>40</v>
      </c>
      <c r="E41" s="3"/>
      <c r="F41" s="3"/>
    </row>
    <row r="42" spans="1:6" x14ac:dyDescent="0.3">
      <c r="A42" s="2">
        <v>43059</v>
      </c>
      <c r="B42" s="1" t="s">
        <v>68</v>
      </c>
      <c r="C42" s="1" t="s">
        <v>88</v>
      </c>
      <c r="D42" s="1">
        <v>41</v>
      </c>
      <c r="E42" s="3"/>
      <c r="F42" s="3"/>
    </row>
    <row r="43" spans="1:6" x14ac:dyDescent="0.3">
      <c r="A43" s="2">
        <v>43059</v>
      </c>
      <c r="B43" s="1" t="s">
        <v>68</v>
      </c>
      <c r="C43" s="1" t="s">
        <v>89</v>
      </c>
      <c r="D43" s="1">
        <v>42</v>
      </c>
      <c r="E43" s="3"/>
      <c r="F43" s="3"/>
    </row>
    <row r="44" spans="1:6" x14ac:dyDescent="0.3">
      <c r="A44" s="2">
        <v>43059</v>
      </c>
      <c r="B44" s="1" t="s">
        <v>68</v>
      </c>
      <c r="C44" s="1" t="s">
        <v>90</v>
      </c>
      <c r="D44" s="1">
        <v>43</v>
      </c>
      <c r="E44" s="3"/>
      <c r="F44" s="3"/>
    </row>
    <row r="45" spans="1:6" x14ac:dyDescent="0.3">
      <c r="A45" s="2">
        <v>43059</v>
      </c>
      <c r="B45" s="1" t="s">
        <v>68</v>
      </c>
      <c r="C45" s="1" t="s">
        <v>91</v>
      </c>
      <c r="D45" s="1">
        <v>44</v>
      </c>
      <c r="E45" s="3"/>
      <c r="F45" s="3"/>
    </row>
    <row r="46" spans="1:6" x14ac:dyDescent="0.3">
      <c r="A46" s="2">
        <v>43059</v>
      </c>
      <c r="B46" s="1" t="s">
        <v>68</v>
      </c>
      <c r="C46" s="1" t="s">
        <v>92</v>
      </c>
      <c r="D46" s="1">
        <v>45</v>
      </c>
      <c r="E46" s="3"/>
      <c r="F46" s="3"/>
    </row>
    <row r="47" spans="1:6" x14ac:dyDescent="0.3">
      <c r="A47" s="2">
        <v>43059</v>
      </c>
      <c r="B47" s="1" t="s">
        <v>68</v>
      </c>
      <c r="C47" s="1" t="s">
        <v>93</v>
      </c>
      <c r="D47" s="1">
        <v>46</v>
      </c>
      <c r="E47" s="3"/>
      <c r="F47" s="3"/>
    </row>
    <row r="48" spans="1:6" x14ac:dyDescent="0.3">
      <c r="A48" s="2">
        <v>43059</v>
      </c>
      <c r="B48" s="1" t="s">
        <v>68</v>
      </c>
      <c r="C48" s="1" t="s">
        <v>94</v>
      </c>
      <c r="D48" s="1">
        <v>47</v>
      </c>
      <c r="E48" s="3"/>
      <c r="F48" s="3"/>
    </row>
    <row r="49" spans="1:6" x14ac:dyDescent="0.3">
      <c r="A49" s="2">
        <v>43059</v>
      </c>
      <c r="B49" s="1" t="s">
        <v>68</v>
      </c>
      <c r="C49" s="1" t="s">
        <v>95</v>
      </c>
      <c r="D49" s="1">
        <v>48</v>
      </c>
      <c r="E49" s="3"/>
      <c r="F49" s="3"/>
    </row>
    <row r="50" spans="1:6" x14ac:dyDescent="0.3">
      <c r="A50" s="2">
        <v>43060</v>
      </c>
      <c r="B50" s="1" t="s">
        <v>69</v>
      </c>
      <c r="C50" s="1" t="s">
        <v>88</v>
      </c>
      <c r="D50" s="1">
        <v>49</v>
      </c>
      <c r="E50" s="3"/>
      <c r="F50" s="3"/>
    </row>
    <row r="51" spans="1:6" x14ac:dyDescent="0.3">
      <c r="A51" s="2">
        <v>43060</v>
      </c>
      <c r="B51" s="1" t="s">
        <v>69</v>
      </c>
      <c r="C51" s="1" t="s">
        <v>89</v>
      </c>
      <c r="D51" s="1">
        <v>50</v>
      </c>
      <c r="E51" s="3"/>
      <c r="F51" s="3"/>
    </row>
    <row r="52" spans="1:6" x14ac:dyDescent="0.3">
      <c r="A52" s="2">
        <v>43060</v>
      </c>
      <c r="B52" s="1" t="s">
        <v>69</v>
      </c>
      <c r="C52" s="1" t="s">
        <v>90</v>
      </c>
      <c r="D52" s="1">
        <v>51</v>
      </c>
      <c r="E52" s="3"/>
      <c r="F52" s="3"/>
    </row>
    <row r="53" spans="1:6" x14ac:dyDescent="0.3">
      <c r="A53" s="2">
        <v>43060</v>
      </c>
      <c r="B53" s="1" t="s">
        <v>69</v>
      </c>
      <c r="C53" s="1" t="s">
        <v>91</v>
      </c>
      <c r="D53" s="1">
        <v>52</v>
      </c>
      <c r="E53" s="3"/>
      <c r="F53" s="3"/>
    </row>
    <row r="54" spans="1:6" x14ac:dyDescent="0.3">
      <c r="A54" s="2">
        <v>43060</v>
      </c>
      <c r="B54" s="1" t="s">
        <v>69</v>
      </c>
      <c r="C54" s="1" t="s">
        <v>92</v>
      </c>
      <c r="D54" s="1">
        <v>53</v>
      </c>
      <c r="E54" s="3"/>
      <c r="F54" s="3"/>
    </row>
    <row r="55" spans="1:6" x14ac:dyDescent="0.3">
      <c r="A55" s="2">
        <v>43060</v>
      </c>
      <c r="B55" s="1" t="s">
        <v>69</v>
      </c>
      <c r="C55" s="1" t="s">
        <v>93</v>
      </c>
      <c r="D55" s="1">
        <v>54</v>
      </c>
      <c r="E55" s="3"/>
      <c r="F55" s="3"/>
    </row>
    <row r="56" spans="1:6" x14ac:dyDescent="0.3">
      <c r="A56" s="2">
        <v>43060</v>
      </c>
      <c r="B56" s="1" t="s">
        <v>69</v>
      </c>
      <c r="C56" s="1" t="s">
        <v>94</v>
      </c>
      <c r="D56" s="1">
        <v>55</v>
      </c>
      <c r="E56" s="3"/>
      <c r="F56" s="3"/>
    </row>
    <row r="57" spans="1:6" x14ac:dyDescent="0.3">
      <c r="A57" s="2">
        <v>43060</v>
      </c>
      <c r="B57" s="1" t="s">
        <v>69</v>
      </c>
      <c r="C57" s="1" t="s">
        <v>95</v>
      </c>
      <c r="D57" s="1">
        <v>56</v>
      </c>
      <c r="E57" s="3"/>
      <c r="F57" s="3"/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5"/>
  <dimension ref="A1:H32"/>
  <sheetViews>
    <sheetView workbookViewId="0">
      <selection activeCell="F10" sqref="F10"/>
    </sheetView>
  </sheetViews>
  <sheetFormatPr defaultRowHeight="14.4" x14ac:dyDescent="0.3"/>
  <cols>
    <col min="2" max="2" width="11.88671875" bestFit="1" customWidth="1"/>
    <col min="3" max="3" width="30" bestFit="1" customWidth="1"/>
    <col min="4" max="4" width="14.5546875" bestFit="1" customWidth="1"/>
    <col min="5" max="5" width="24.44140625" customWidth="1"/>
    <col min="6" max="6" width="18.109375" customWidth="1"/>
    <col min="7" max="7" width="13.44140625" bestFit="1" customWidth="1"/>
    <col min="8" max="8" width="14.6640625" customWidth="1"/>
  </cols>
  <sheetData>
    <row r="1" spans="1:8" x14ac:dyDescent="0.3">
      <c r="A1" s="1" t="s">
        <v>0</v>
      </c>
      <c r="B1" s="1" t="s">
        <v>81</v>
      </c>
      <c r="C1" s="1" t="s">
        <v>80</v>
      </c>
      <c r="D1" s="1" t="s">
        <v>96</v>
      </c>
      <c r="E1" s="1" t="s">
        <v>24</v>
      </c>
      <c r="F1" s="1" t="s">
        <v>97</v>
      </c>
      <c r="G1" s="1" t="s">
        <v>106</v>
      </c>
      <c r="H1" s="1" t="s">
        <v>98</v>
      </c>
    </row>
    <row r="2" spans="1:8" x14ac:dyDescent="0.3">
      <c r="A2" s="13">
        <v>1</v>
      </c>
      <c r="B2" s="13" t="s">
        <v>37</v>
      </c>
      <c r="C2" s="12" t="s">
        <v>27</v>
      </c>
      <c r="D2" s="12">
        <v>1</v>
      </c>
      <c r="E2" s="12" t="s">
        <v>4</v>
      </c>
      <c r="F2" s="12">
        <v>1</v>
      </c>
      <c r="G2" s="12" t="s">
        <v>5</v>
      </c>
      <c r="H2" s="12">
        <v>2</v>
      </c>
    </row>
    <row r="3" spans="1:8" x14ac:dyDescent="0.3">
      <c r="A3" s="13">
        <v>2</v>
      </c>
      <c r="B3" s="13" t="s">
        <v>38</v>
      </c>
      <c r="C3" s="13" t="s">
        <v>28</v>
      </c>
      <c r="D3" s="12">
        <v>2</v>
      </c>
      <c r="E3" s="12" t="s">
        <v>7</v>
      </c>
      <c r="F3" s="12">
        <v>4</v>
      </c>
      <c r="G3" s="12" t="s">
        <v>5</v>
      </c>
      <c r="H3" s="12">
        <v>2</v>
      </c>
    </row>
    <row r="4" spans="1:8" x14ac:dyDescent="0.3">
      <c r="A4" s="13">
        <v>3</v>
      </c>
      <c r="B4" s="13" t="s">
        <v>39</v>
      </c>
      <c r="C4" s="12" t="s">
        <v>29</v>
      </c>
      <c r="D4" s="12">
        <v>3</v>
      </c>
      <c r="E4" s="12" t="s">
        <v>8</v>
      </c>
      <c r="F4" s="12">
        <v>5</v>
      </c>
      <c r="G4" s="12" t="s">
        <v>9</v>
      </c>
      <c r="H4" s="12">
        <v>6</v>
      </c>
    </row>
    <row r="5" spans="1:8" x14ac:dyDescent="0.3">
      <c r="A5" s="13">
        <v>4</v>
      </c>
      <c r="B5" s="13" t="s">
        <v>40</v>
      </c>
      <c r="C5" s="12" t="s">
        <v>29</v>
      </c>
      <c r="D5" s="12">
        <v>3</v>
      </c>
      <c r="E5" s="12" t="s">
        <v>8</v>
      </c>
      <c r="F5" s="12">
        <v>5</v>
      </c>
      <c r="G5" s="12" t="s">
        <v>9</v>
      </c>
      <c r="H5" s="12">
        <v>6</v>
      </c>
    </row>
    <row r="6" spans="1:8" x14ac:dyDescent="0.3">
      <c r="A6" s="13">
        <v>5</v>
      </c>
      <c r="B6" s="13" t="s">
        <v>41</v>
      </c>
      <c r="C6" s="12" t="s">
        <v>30</v>
      </c>
      <c r="D6" s="12">
        <v>4</v>
      </c>
      <c r="E6" s="12" t="s">
        <v>8</v>
      </c>
      <c r="F6" s="12">
        <v>5</v>
      </c>
      <c r="G6" s="12" t="s">
        <v>9</v>
      </c>
      <c r="H6" s="12">
        <v>6</v>
      </c>
    </row>
    <row r="7" spans="1:8" x14ac:dyDescent="0.3">
      <c r="A7" s="13">
        <v>6</v>
      </c>
      <c r="B7" s="13" t="s">
        <v>42</v>
      </c>
      <c r="C7" s="12" t="s">
        <v>31</v>
      </c>
      <c r="D7" s="12">
        <v>5</v>
      </c>
      <c r="E7" s="12" t="s">
        <v>8</v>
      </c>
      <c r="F7" s="12">
        <v>5</v>
      </c>
      <c r="G7" s="12" t="s">
        <v>6</v>
      </c>
      <c r="H7" s="12">
        <v>3</v>
      </c>
    </row>
    <row r="8" spans="1:8" x14ac:dyDescent="0.3">
      <c r="A8" s="13">
        <v>7</v>
      </c>
      <c r="B8" s="13" t="s">
        <v>43</v>
      </c>
      <c r="C8" s="12" t="s">
        <v>27</v>
      </c>
      <c r="D8" s="12">
        <v>1</v>
      </c>
      <c r="E8" s="12" t="s">
        <v>11</v>
      </c>
      <c r="F8" s="12">
        <v>8</v>
      </c>
      <c r="G8" s="13" t="s">
        <v>9</v>
      </c>
      <c r="H8" s="12">
        <v>9</v>
      </c>
    </row>
    <row r="9" spans="1:8" x14ac:dyDescent="0.3">
      <c r="A9" s="13">
        <v>8</v>
      </c>
      <c r="B9" s="13" t="s">
        <v>44</v>
      </c>
      <c r="C9" s="12" t="s">
        <v>27</v>
      </c>
      <c r="D9" s="12">
        <v>1</v>
      </c>
      <c r="E9" s="12" t="s">
        <v>11</v>
      </c>
      <c r="F9" s="12">
        <v>8</v>
      </c>
      <c r="G9" s="12" t="s">
        <v>12</v>
      </c>
      <c r="H9" s="12">
        <v>9</v>
      </c>
    </row>
    <row r="10" spans="1:8" x14ac:dyDescent="0.3">
      <c r="A10" s="13">
        <v>9</v>
      </c>
      <c r="B10" s="13" t="s">
        <v>45</v>
      </c>
      <c r="C10" s="12" t="s">
        <v>32</v>
      </c>
      <c r="D10" s="12">
        <v>6</v>
      </c>
      <c r="E10" s="12" t="s">
        <v>13</v>
      </c>
      <c r="F10" s="12">
        <v>10</v>
      </c>
      <c r="G10" s="12" t="s">
        <v>9</v>
      </c>
      <c r="H10" s="12">
        <v>6</v>
      </c>
    </row>
    <row r="11" spans="1:8" x14ac:dyDescent="0.3">
      <c r="A11" s="13">
        <v>10</v>
      </c>
      <c r="B11" s="13" t="s">
        <v>46</v>
      </c>
      <c r="C11" s="12" t="s">
        <v>31</v>
      </c>
      <c r="D11" s="12">
        <v>5</v>
      </c>
      <c r="E11" s="12" t="s">
        <v>13</v>
      </c>
      <c r="F11" s="12">
        <v>10</v>
      </c>
      <c r="G11" s="12" t="s">
        <v>9</v>
      </c>
      <c r="H11" s="12">
        <v>6</v>
      </c>
    </row>
    <row r="12" spans="1:8" x14ac:dyDescent="0.3">
      <c r="A12" s="13">
        <v>11</v>
      </c>
      <c r="B12" s="13" t="s">
        <v>47</v>
      </c>
      <c r="C12" s="12" t="s">
        <v>31</v>
      </c>
      <c r="D12" s="12">
        <v>5</v>
      </c>
      <c r="E12" s="12" t="s">
        <v>13</v>
      </c>
      <c r="F12" s="12">
        <v>10</v>
      </c>
      <c r="G12" s="12" t="s">
        <v>9</v>
      </c>
      <c r="H12" s="12">
        <v>6</v>
      </c>
    </row>
    <row r="13" spans="1:8" x14ac:dyDescent="0.3">
      <c r="A13" s="13">
        <v>12</v>
      </c>
      <c r="B13" s="13" t="s">
        <v>48</v>
      </c>
      <c r="C13" s="12" t="s">
        <v>31</v>
      </c>
      <c r="D13" s="12">
        <v>5</v>
      </c>
      <c r="E13" s="12" t="s">
        <v>7</v>
      </c>
      <c r="F13" s="12">
        <v>4</v>
      </c>
      <c r="G13" s="12" t="s">
        <v>12</v>
      </c>
      <c r="H13" s="12">
        <v>9</v>
      </c>
    </row>
    <row r="14" spans="1:8" x14ac:dyDescent="0.3">
      <c r="A14" s="13">
        <v>13</v>
      </c>
      <c r="B14" s="13" t="s">
        <v>49</v>
      </c>
      <c r="C14" s="12" t="s">
        <v>33</v>
      </c>
      <c r="D14" s="12">
        <v>7</v>
      </c>
      <c r="E14" s="12" t="s">
        <v>7</v>
      </c>
      <c r="F14" s="12">
        <v>4</v>
      </c>
      <c r="G14" s="12" t="s">
        <v>12</v>
      </c>
      <c r="H14" s="12">
        <v>9</v>
      </c>
    </row>
    <row r="15" spans="1:8" x14ac:dyDescent="0.3">
      <c r="A15" s="13">
        <v>14</v>
      </c>
      <c r="B15" s="13" t="s">
        <v>50</v>
      </c>
      <c r="C15" s="12" t="s">
        <v>34</v>
      </c>
      <c r="D15" s="12">
        <v>8</v>
      </c>
      <c r="E15" s="12" t="s">
        <v>14</v>
      </c>
      <c r="F15" s="12">
        <v>11</v>
      </c>
      <c r="G15" s="12" t="s">
        <v>15</v>
      </c>
      <c r="H15" s="12">
        <v>12</v>
      </c>
    </row>
    <row r="16" spans="1:8" x14ac:dyDescent="0.3">
      <c r="A16" s="13">
        <v>15</v>
      </c>
      <c r="B16" s="13" t="s">
        <v>51</v>
      </c>
      <c r="C16" s="12" t="s">
        <v>33</v>
      </c>
      <c r="D16" s="12">
        <v>7</v>
      </c>
      <c r="E16" s="12" t="s">
        <v>16</v>
      </c>
      <c r="F16" s="12">
        <v>13</v>
      </c>
      <c r="G16" s="12" t="s">
        <v>15</v>
      </c>
      <c r="H16" s="12">
        <v>12</v>
      </c>
    </row>
    <row r="17" spans="1:8" x14ac:dyDescent="0.3">
      <c r="A17" s="13">
        <v>16</v>
      </c>
      <c r="B17" s="13" t="s">
        <v>52</v>
      </c>
      <c r="C17" s="12" t="s">
        <v>35</v>
      </c>
      <c r="D17" s="12">
        <v>9</v>
      </c>
      <c r="E17" s="12" t="s">
        <v>16</v>
      </c>
      <c r="F17" s="12">
        <v>13</v>
      </c>
      <c r="G17" s="12" t="s">
        <v>15</v>
      </c>
      <c r="H17" s="12">
        <v>12</v>
      </c>
    </row>
    <row r="18" spans="1:8" x14ac:dyDescent="0.3">
      <c r="A18" s="13">
        <v>17</v>
      </c>
      <c r="B18" s="13" t="s">
        <v>53</v>
      </c>
      <c r="C18" s="12" t="s">
        <v>36</v>
      </c>
      <c r="D18" s="12">
        <v>10</v>
      </c>
      <c r="E18" s="12" t="s">
        <v>17</v>
      </c>
      <c r="F18" s="12">
        <v>14</v>
      </c>
      <c r="G18" s="12" t="s">
        <v>18</v>
      </c>
      <c r="H18" s="12">
        <v>15</v>
      </c>
    </row>
    <row r="19" spans="1:8" x14ac:dyDescent="0.3">
      <c r="A19" s="13">
        <v>18</v>
      </c>
      <c r="B19" s="13" t="s">
        <v>54</v>
      </c>
      <c r="C19" s="12" t="s">
        <v>36</v>
      </c>
      <c r="D19" s="12">
        <v>10</v>
      </c>
      <c r="E19" s="12" t="s">
        <v>17</v>
      </c>
      <c r="F19" s="12">
        <v>14</v>
      </c>
      <c r="G19" s="12" t="s">
        <v>18</v>
      </c>
      <c r="H19" s="12">
        <v>15</v>
      </c>
    </row>
    <row r="20" spans="1:8" x14ac:dyDescent="0.3">
      <c r="A20" s="13">
        <v>19</v>
      </c>
      <c r="B20" s="13" t="s">
        <v>55</v>
      </c>
      <c r="C20" s="12" t="s">
        <v>34</v>
      </c>
      <c r="D20" s="12">
        <v>8</v>
      </c>
      <c r="E20" s="12" t="s">
        <v>19</v>
      </c>
      <c r="F20" s="12">
        <v>16</v>
      </c>
      <c r="G20" s="12" t="s">
        <v>18</v>
      </c>
      <c r="H20" s="12">
        <v>15</v>
      </c>
    </row>
    <row r="21" spans="1:8" x14ac:dyDescent="0.3">
      <c r="A21" s="13">
        <v>20</v>
      </c>
      <c r="B21" s="13" t="s">
        <v>56</v>
      </c>
      <c r="C21" s="12" t="s">
        <v>34</v>
      </c>
      <c r="D21" s="12">
        <v>8</v>
      </c>
      <c r="E21" s="12" t="s">
        <v>14</v>
      </c>
      <c r="F21" s="12">
        <v>11</v>
      </c>
      <c r="G21" s="12" t="s">
        <v>20</v>
      </c>
      <c r="H21" s="12">
        <v>17</v>
      </c>
    </row>
    <row r="22" spans="1:8" x14ac:dyDescent="0.3">
      <c r="A22" s="13">
        <v>21</v>
      </c>
      <c r="B22" s="13" t="s">
        <v>57</v>
      </c>
      <c r="C22" s="12" t="s">
        <v>34</v>
      </c>
      <c r="D22" s="12">
        <v>8</v>
      </c>
      <c r="E22" s="12" t="s">
        <v>19</v>
      </c>
      <c r="F22" s="12">
        <v>16</v>
      </c>
      <c r="G22" s="12" t="s">
        <v>20</v>
      </c>
      <c r="H22" s="12">
        <v>17</v>
      </c>
    </row>
    <row r="23" spans="1:8" x14ac:dyDescent="0.3">
      <c r="A23" s="13">
        <v>22</v>
      </c>
      <c r="B23" s="13" t="s">
        <v>58</v>
      </c>
      <c r="C23" s="12" t="s">
        <v>32</v>
      </c>
      <c r="D23" s="12">
        <v>6</v>
      </c>
      <c r="E23" s="12" t="s">
        <v>13</v>
      </c>
      <c r="F23" s="12">
        <v>10</v>
      </c>
      <c r="G23" s="12" t="s">
        <v>9</v>
      </c>
      <c r="H23" s="12">
        <v>6</v>
      </c>
    </row>
    <row r="24" spans="1:8" x14ac:dyDescent="0.3">
      <c r="A24" s="13">
        <v>23</v>
      </c>
      <c r="B24" s="13" t="s">
        <v>59</v>
      </c>
      <c r="C24" s="12" t="s">
        <v>32</v>
      </c>
      <c r="D24" s="12">
        <v>6</v>
      </c>
      <c r="E24" s="12" t="s">
        <v>13</v>
      </c>
      <c r="F24" s="12">
        <v>10</v>
      </c>
      <c r="G24" s="12" t="s">
        <v>9</v>
      </c>
      <c r="H24" s="12">
        <v>6</v>
      </c>
    </row>
    <row r="25" spans="1:8" x14ac:dyDescent="0.3">
      <c r="A25" s="13">
        <v>24</v>
      </c>
      <c r="B25" s="13" t="s">
        <v>60</v>
      </c>
      <c r="C25" s="12" t="s">
        <v>31</v>
      </c>
      <c r="D25" s="12">
        <v>5</v>
      </c>
      <c r="E25" s="12" t="s">
        <v>13</v>
      </c>
      <c r="F25" s="12">
        <v>10</v>
      </c>
      <c r="G25" s="12" t="s">
        <v>12</v>
      </c>
      <c r="H25" s="12">
        <v>9</v>
      </c>
    </row>
    <row r="26" spans="1:8" x14ac:dyDescent="0.3">
      <c r="A26" s="13">
        <v>25</v>
      </c>
      <c r="B26" s="13" t="s">
        <v>61</v>
      </c>
      <c r="C26" s="12" t="s">
        <v>28</v>
      </c>
      <c r="D26" s="12">
        <v>2</v>
      </c>
      <c r="E26" s="12" t="s">
        <v>16</v>
      </c>
      <c r="F26" s="12">
        <v>13</v>
      </c>
      <c r="G26" s="12" t="s">
        <v>20</v>
      </c>
      <c r="H26" s="12">
        <v>17</v>
      </c>
    </row>
    <row r="27" spans="1:8" x14ac:dyDescent="0.3">
      <c r="A27" s="13">
        <v>26</v>
      </c>
      <c r="B27" s="13" t="s">
        <v>62</v>
      </c>
      <c r="C27" s="12" t="s">
        <v>28</v>
      </c>
      <c r="D27" s="12">
        <v>2</v>
      </c>
      <c r="E27" s="12" t="s">
        <v>16</v>
      </c>
      <c r="F27" s="12">
        <v>13</v>
      </c>
      <c r="G27" s="12" t="s">
        <v>20</v>
      </c>
      <c r="H27" s="12">
        <v>17</v>
      </c>
    </row>
    <row r="28" spans="1:8" x14ac:dyDescent="0.3">
      <c r="A28" s="13">
        <v>27</v>
      </c>
      <c r="B28" s="13" t="s">
        <v>63</v>
      </c>
      <c r="C28" s="12" t="s">
        <v>28</v>
      </c>
      <c r="D28" s="12">
        <v>2</v>
      </c>
      <c r="E28" s="12" t="s">
        <v>16</v>
      </c>
      <c r="F28" s="12">
        <v>13</v>
      </c>
      <c r="G28" s="12" t="s">
        <v>20</v>
      </c>
      <c r="H28" s="12">
        <v>17</v>
      </c>
    </row>
    <row r="29" spans="1:8" x14ac:dyDescent="0.3">
      <c r="A29" s="13">
        <v>28</v>
      </c>
      <c r="B29" s="13" t="s">
        <v>64</v>
      </c>
      <c r="C29" s="12" t="s">
        <v>28</v>
      </c>
      <c r="D29" s="12">
        <v>2</v>
      </c>
      <c r="E29" s="12" t="s">
        <v>16</v>
      </c>
      <c r="F29" s="12">
        <v>13</v>
      </c>
      <c r="G29" s="12" t="s">
        <v>20</v>
      </c>
      <c r="H29" s="12">
        <v>17</v>
      </c>
    </row>
    <row r="30" spans="1:8" x14ac:dyDescent="0.3">
      <c r="A30" s="13">
        <v>29</v>
      </c>
      <c r="B30" s="13" t="s">
        <v>65</v>
      </c>
      <c r="C30" s="12" t="s">
        <v>29</v>
      </c>
      <c r="D30" s="12">
        <v>3</v>
      </c>
      <c r="E30" s="12" t="s">
        <v>22</v>
      </c>
      <c r="F30" s="12">
        <v>19</v>
      </c>
      <c r="G30" s="12" t="s">
        <v>18</v>
      </c>
      <c r="H30" s="12">
        <v>15</v>
      </c>
    </row>
    <row r="31" spans="1:8" x14ac:dyDescent="0.3">
      <c r="A31" s="13">
        <v>30</v>
      </c>
      <c r="B31" s="13" t="s">
        <v>66</v>
      </c>
      <c r="C31" s="12" t="s">
        <v>31</v>
      </c>
      <c r="D31" s="12">
        <v>5</v>
      </c>
      <c r="E31" s="12" t="s">
        <v>22</v>
      </c>
      <c r="F31" s="12">
        <v>19</v>
      </c>
      <c r="G31" s="12" t="s">
        <v>23</v>
      </c>
      <c r="H31" s="12">
        <v>20</v>
      </c>
    </row>
    <row r="32" spans="1:8" x14ac:dyDescent="0.3">
      <c r="A32" s="13">
        <v>31</v>
      </c>
      <c r="B32" s="13" t="s">
        <v>67</v>
      </c>
      <c r="C32" s="12" t="s">
        <v>32</v>
      </c>
      <c r="D32" s="12">
        <v>6</v>
      </c>
      <c r="E32" s="12" t="s">
        <v>4</v>
      </c>
      <c r="F32" s="12">
        <v>1</v>
      </c>
      <c r="G32" s="12" t="s">
        <v>23</v>
      </c>
      <c r="H32" s="12">
        <v>20</v>
      </c>
    </row>
  </sheetData>
  <dataValidations count="2">
    <dataValidation type="list" allowBlank="1" showInputMessage="1" showErrorMessage="1" sqref="C2:C32" xr:uid="{00000000-0002-0000-0700-000000000000}">
      <formula1>subjects</formula1>
    </dataValidation>
    <dataValidation type="list" allowBlank="1" showInputMessage="1" showErrorMessage="1" sqref="G2:G32 E2:E32" xr:uid="{00000000-0002-0000-0700-000001000000}">
      <formula1>Persons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10"/>
  <dimension ref="A1:F161"/>
  <sheetViews>
    <sheetView topLeftCell="A110" workbookViewId="0">
      <selection activeCell="F2" sqref="F2:F124"/>
    </sheetView>
  </sheetViews>
  <sheetFormatPr defaultRowHeight="14.4" x14ac:dyDescent="0.3"/>
  <cols>
    <col min="1" max="1" width="7.33203125" bestFit="1" customWidth="1"/>
    <col min="2" max="2" width="10.33203125" bestFit="1" customWidth="1"/>
    <col min="3" max="3" width="12.5546875" bestFit="1" customWidth="1"/>
    <col min="4" max="4" width="15.33203125" bestFit="1" customWidth="1"/>
    <col min="5" max="5" width="23.6640625" bestFit="1" customWidth="1"/>
    <col min="6" max="6" width="21.6640625" bestFit="1" customWidth="1"/>
  </cols>
  <sheetData>
    <row r="1" spans="1:6" x14ac:dyDescent="0.3">
      <c r="A1" s="1" t="s">
        <v>0</v>
      </c>
      <c r="B1" s="1" t="s">
        <v>100</v>
      </c>
      <c r="C1" s="1" t="s">
        <v>87</v>
      </c>
      <c r="D1" s="1" t="s">
        <v>99</v>
      </c>
      <c r="E1" s="1" t="s">
        <v>86</v>
      </c>
      <c r="F1" s="1" t="s">
        <v>103</v>
      </c>
    </row>
    <row r="2" spans="1:6" x14ac:dyDescent="0.3">
      <c r="A2" s="1">
        <v>1</v>
      </c>
      <c r="B2" s="8">
        <v>43052</v>
      </c>
      <c r="C2" s="1" t="s">
        <v>88</v>
      </c>
      <c r="D2">
        <v>1</v>
      </c>
      <c r="E2" t="s">
        <v>8</v>
      </c>
      <c r="F2">
        <v>1</v>
      </c>
    </row>
    <row r="3" spans="1:6" x14ac:dyDescent="0.3">
      <c r="A3" s="1">
        <v>2</v>
      </c>
      <c r="B3" s="8">
        <v>43052</v>
      </c>
      <c r="C3" s="1" t="s">
        <v>89</v>
      </c>
      <c r="D3">
        <v>2</v>
      </c>
      <c r="E3" t="s">
        <v>8</v>
      </c>
      <c r="F3">
        <v>1</v>
      </c>
    </row>
    <row r="4" spans="1:6" x14ac:dyDescent="0.3">
      <c r="A4" s="1">
        <v>3</v>
      </c>
      <c r="B4" s="8">
        <v>43053</v>
      </c>
      <c r="C4" t="s">
        <v>88</v>
      </c>
      <c r="D4">
        <v>9</v>
      </c>
      <c r="E4" t="s">
        <v>8</v>
      </c>
      <c r="F4">
        <v>1</v>
      </c>
    </row>
    <row r="5" spans="1:6" x14ac:dyDescent="0.3">
      <c r="A5" s="1">
        <v>4</v>
      </c>
      <c r="B5" s="8">
        <v>43053</v>
      </c>
      <c r="C5" t="s">
        <v>89</v>
      </c>
      <c r="D5">
        <v>10</v>
      </c>
      <c r="E5" t="s">
        <v>8</v>
      </c>
      <c r="F5">
        <v>1</v>
      </c>
    </row>
    <row r="6" spans="1:6" x14ac:dyDescent="0.3">
      <c r="A6" s="1">
        <v>5</v>
      </c>
      <c r="B6" s="8">
        <v>43054</v>
      </c>
      <c r="C6" t="s">
        <v>88</v>
      </c>
      <c r="D6">
        <v>17</v>
      </c>
      <c r="E6" t="s">
        <v>8</v>
      </c>
      <c r="F6">
        <v>1</v>
      </c>
    </row>
    <row r="7" spans="1:6" x14ac:dyDescent="0.3">
      <c r="A7" s="1">
        <v>6</v>
      </c>
      <c r="B7" s="8">
        <v>43054</v>
      </c>
      <c r="C7" t="s">
        <v>89</v>
      </c>
      <c r="D7">
        <v>18</v>
      </c>
      <c r="E7" t="s">
        <v>8</v>
      </c>
      <c r="F7">
        <v>1</v>
      </c>
    </row>
    <row r="8" spans="1:6" x14ac:dyDescent="0.3">
      <c r="A8" s="1">
        <v>7</v>
      </c>
      <c r="B8" s="8">
        <v>43055</v>
      </c>
      <c r="C8" t="s">
        <v>88</v>
      </c>
      <c r="D8">
        <v>25</v>
      </c>
      <c r="E8" t="s">
        <v>8</v>
      </c>
      <c r="F8">
        <v>1</v>
      </c>
    </row>
    <row r="9" spans="1:6" x14ac:dyDescent="0.3">
      <c r="A9" s="1">
        <v>8</v>
      </c>
      <c r="B9" s="8">
        <v>43055</v>
      </c>
      <c r="C9" t="s">
        <v>89</v>
      </c>
      <c r="D9">
        <v>26</v>
      </c>
      <c r="E9" t="s">
        <v>8</v>
      </c>
      <c r="F9">
        <v>1</v>
      </c>
    </row>
    <row r="10" spans="1:6" x14ac:dyDescent="0.3">
      <c r="A10" s="1">
        <v>9</v>
      </c>
      <c r="B10" s="8">
        <v>43056</v>
      </c>
      <c r="C10" t="s">
        <v>88</v>
      </c>
      <c r="D10">
        <v>33</v>
      </c>
      <c r="E10" t="s">
        <v>8</v>
      </c>
      <c r="F10">
        <v>1</v>
      </c>
    </row>
    <row r="11" spans="1:6" x14ac:dyDescent="0.3">
      <c r="A11" s="1">
        <v>10</v>
      </c>
      <c r="B11" s="8">
        <v>43056</v>
      </c>
      <c r="C11" t="s">
        <v>89</v>
      </c>
      <c r="D11">
        <v>34</v>
      </c>
      <c r="E11" t="s">
        <v>8</v>
      </c>
      <c r="F11">
        <v>1</v>
      </c>
    </row>
    <row r="12" spans="1:6" x14ac:dyDescent="0.3">
      <c r="A12" s="1">
        <v>11</v>
      </c>
      <c r="B12" s="8">
        <v>43059</v>
      </c>
      <c r="C12" t="s">
        <v>88</v>
      </c>
      <c r="D12">
        <v>41</v>
      </c>
      <c r="E12" t="s">
        <v>8</v>
      </c>
      <c r="F12">
        <v>1</v>
      </c>
    </row>
    <row r="13" spans="1:6" x14ac:dyDescent="0.3">
      <c r="A13" s="1">
        <v>12</v>
      </c>
      <c r="B13" s="8">
        <v>43059</v>
      </c>
      <c r="C13" t="s">
        <v>89</v>
      </c>
      <c r="D13">
        <v>42</v>
      </c>
      <c r="E13" t="s">
        <v>8</v>
      </c>
      <c r="F13">
        <v>1</v>
      </c>
    </row>
    <row r="14" spans="1:6" x14ac:dyDescent="0.3">
      <c r="A14" s="1">
        <v>13</v>
      </c>
      <c r="B14" s="8">
        <v>43060</v>
      </c>
      <c r="C14" t="s">
        <v>88</v>
      </c>
      <c r="D14">
        <v>49</v>
      </c>
      <c r="E14" t="s">
        <v>8</v>
      </c>
      <c r="F14">
        <v>1</v>
      </c>
    </row>
    <row r="15" spans="1:6" x14ac:dyDescent="0.3">
      <c r="A15" s="1">
        <v>14</v>
      </c>
      <c r="B15" s="8">
        <v>43060</v>
      </c>
      <c r="C15" t="s">
        <v>89</v>
      </c>
      <c r="D15">
        <v>50</v>
      </c>
      <c r="E15" t="s">
        <v>8</v>
      </c>
      <c r="F15">
        <v>1</v>
      </c>
    </row>
    <row r="16" spans="1:6" x14ac:dyDescent="0.3">
      <c r="A16" s="1">
        <v>15</v>
      </c>
      <c r="B16" s="8">
        <v>43055</v>
      </c>
      <c r="C16" s="7" t="s">
        <v>90</v>
      </c>
      <c r="D16">
        <v>27</v>
      </c>
      <c r="E16" t="s">
        <v>4</v>
      </c>
      <c r="F16">
        <v>1</v>
      </c>
    </row>
    <row r="17" spans="1:6" x14ac:dyDescent="0.3">
      <c r="A17" s="1">
        <v>16</v>
      </c>
      <c r="B17" s="8">
        <v>43055</v>
      </c>
      <c r="C17" t="s">
        <v>91</v>
      </c>
      <c r="D17">
        <v>28</v>
      </c>
      <c r="E17" t="s">
        <v>4</v>
      </c>
      <c r="F17">
        <v>1</v>
      </c>
    </row>
    <row r="18" spans="1:6" x14ac:dyDescent="0.3">
      <c r="A18" s="1">
        <v>17</v>
      </c>
      <c r="B18" s="8">
        <v>43056</v>
      </c>
      <c r="C18" s="7" t="s">
        <v>90</v>
      </c>
      <c r="D18">
        <v>35</v>
      </c>
      <c r="E18" t="s">
        <v>4</v>
      </c>
      <c r="F18">
        <v>1</v>
      </c>
    </row>
    <row r="19" spans="1:6" x14ac:dyDescent="0.3">
      <c r="A19" s="1">
        <v>18</v>
      </c>
      <c r="B19" s="8">
        <v>43056</v>
      </c>
      <c r="C19" t="s">
        <v>91</v>
      </c>
      <c r="D19">
        <v>36</v>
      </c>
      <c r="E19" t="s">
        <v>4</v>
      </c>
      <c r="F19">
        <v>1</v>
      </c>
    </row>
    <row r="20" spans="1:6" x14ac:dyDescent="0.3">
      <c r="A20" s="1">
        <v>19</v>
      </c>
      <c r="B20" s="8">
        <v>43060</v>
      </c>
      <c r="C20" t="s">
        <v>107</v>
      </c>
      <c r="D20">
        <v>54</v>
      </c>
      <c r="E20" t="s">
        <v>5</v>
      </c>
      <c r="F20">
        <v>1</v>
      </c>
    </row>
    <row r="21" spans="1:6" x14ac:dyDescent="0.3">
      <c r="A21" s="1">
        <v>20</v>
      </c>
      <c r="B21" s="8">
        <v>43060</v>
      </c>
      <c r="C21" s="7" t="s">
        <v>94</v>
      </c>
      <c r="D21">
        <v>55</v>
      </c>
      <c r="E21" t="s">
        <v>5</v>
      </c>
      <c r="F21">
        <v>1</v>
      </c>
    </row>
    <row r="22" spans="1:6" x14ac:dyDescent="0.3">
      <c r="A22" s="1">
        <v>21</v>
      </c>
      <c r="B22" s="8">
        <v>43060</v>
      </c>
      <c r="C22" t="s">
        <v>95</v>
      </c>
      <c r="D22">
        <v>56</v>
      </c>
      <c r="E22" t="s">
        <v>5</v>
      </c>
      <c r="F22">
        <v>1</v>
      </c>
    </row>
    <row r="23" spans="1:6" x14ac:dyDescent="0.3">
      <c r="A23" s="1">
        <v>22</v>
      </c>
      <c r="B23" s="8">
        <v>43052</v>
      </c>
      <c r="C23" s="1" t="s">
        <v>88</v>
      </c>
      <c r="D23">
        <v>1</v>
      </c>
      <c r="E23" t="s">
        <v>6</v>
      </c>
      <c r="F23">
        <v>1</v>
      </c>
    </row>
    <row r="24" spans="1:6" x14ac:dyDescent="0.3">
      <c r="A24" s="1">
        <v>23</v>
      </c>
      <c r="B24" s="8">
        <v>43052</v>
      </c>
      <c r="C24" s="1" t="s">
        <v>89</v>
      </c>
      <c r="D24">
        <v>2</v>
      </c>
      <c r="E24" t="s">
        <v>6</v>
      </c>
      <c r="F24">
        <v>1</v>
      </c>
    </row>
    <row r="25" spans="1:6" x14ac:dyDescent="0.3">
      <c r="A25" s="1">
        <v>24</v>
      </c>
      <c r="B25" s="8">
        <v>43053</v>
      </c>
      <c r="C25" t="s">
        <v>89</v>
      </c>
      <c r="D25">
        <v>10</v>
      </c>
      <c r="E25" t="s">
        <v>7</v>
      </c>
      <c r="F25">
        <v>1</v>
      </c>
    </row>
    <row r="26" spans="1:6" x14ac:dyDescent="0.3">
      <c r="A26" s="1">
        <v>25</v>
      </c>
      <c r="B26" s="8">
        <v>43052</v>
      </c>
      <c r="C26" s="1" t="s">
        <v>88</v>
      </c>
      <c r="D26">
        <v>1</v>
      </c>
      <c r="E26" t="s">
        <v>9</v>
      </c>
      <c r="F26">
        <v>1</v>
      </c>
    </row>
    <row r="27" spans="1:6" x14ac:dyDescent="0.3">
      <c r="A27" s="1">
        <v>26</v>
      </c>
      <c r="B27" s="8">
        <v>43052</v>
      </c>
      <c r="C27" s="1" t="s">
        <v>89</v>
      </c>
      <c r="D27">
        <v>2</v>
      </c>
      <c r="E27" t="s">
        <v>9</v>
      </c>
      <c r="F27">
        <v>1</v>
      </c>
    </row>
    <row r="28" spans="1:6" x14ac:dyDescent="0.3">
      <c r="A28" s="1">
        <v>27</v>
      </c>
      <c r="B28" s="8">
        <v>43052</v>
      </c>
      <c r="C28" s="7" t="s">
        <v>90</v>
      </c>
      <c r="D28">
        <v>3</v>
      </c>
      <c r="E28" t="s">
        <v>9</v>
      </c>
      <c r="F28">
        <v>1</v>
      </c>
    </row>
    <row r="29" spans="1:6" x14ac:dyDescent="0.3">
      <c r="A29" s="1">
        <v>28</v>
      </c>
      <c r="B29" s="8">
        <v>43052</v>
      </c>
      <c r="C29" t="s">
        <v>91</v>
      </c>
      <c r="D29">
        <v>4</v>
      </c>
      <c r="E29" t="s">
        <v>9</v>
      </c>
      <c r="F29">
        <v>1</v>
      </c>
    </row>
    <row r="30" spans="1:6" x14ac:dyDescent="0.3">
      <c r="A30" s="1">
        <v>29</v>
      </c>
      <c r="B30" s="8">
        <v>43052</v>
      </c>
      <c r="C30" t="s">
        <v>92</v>
      </c>
      <c r="D30">
        <v>5</v>
      </c>
      <c r="E30" t="s">
        <v>9</v>
      </c>
      <c r="F30">
        <v>1</v>
      </c>
    </row>
    <row r="31" spans="1:6" x14ac:dyDescent="0.3">
      <c r="A31" s="1">
        <v>30</v>
      </c>
      <c r="B31" s="8">
        <v>43052</v>
      </c>
      <c r="C31" t="s">
        <v>107</v>
      </c>
      <c r="D31">
        <v>6</v>
      </c>
      <c r="E31" t="s">
        <v>9</v>
      </c>
      <c r="F31">
        <v>1</v>
      </c>
    </row>
    <row r="32" spans="1:6" x14ac:dyDescent="0.3">
      <c r="A32" s="1">
        <v>31</v>
      </c>
      <c r="B32" s="8">
        <v>43052</v>
      </c>
      <c r="C32" s="7" t="s">
        <v>94</v>
      </c>
      <c r="D32">
        <v>7</v>
      </c>
      <c r="E32" t="s">
        <v>9</v>
      </c>
      <c r="F32">
        <v>1</v>
      </c>
    </row>
    <row r="33" spans="1:6" x14ac:dyDescent="0.3">
      <c r="A33" s="1">
        <v>32</v>
      </c>
      <c r="B33" s="8">
        <v>43052</v>
      </c>
      <c r="C33" t="s">
        <v>95</v>
      </c>
      <c r="D33">
        <v>8</v>
      </c>
      <c r="E33" t="s">
        <v>9</v>
      </c>
      <c r="F33">
        <v>1</v>
      </c>
    </row>
    <row r="34" spans="1:6" x14ac:dyDescent="0.3">
      <c r="A34" s="1">
        <v>33</v>
      </c>
      <c r="B34" s="8">
        <v>43053</v>
      </c>
      <c r="C34" s="1" t="s">
        <v>88</v>
      </c>
      <c r="D34">
        <v>9</v>
      </c>
      <c r="E34" t="s">
        <v>9</v>
      </c>
      <c r="F34">
        <v>1</v>
      </c>
    </row>
    <row r="35" spans="1:6" x14ac:dyDescent="0.3">
      <c r="A35" s="1">
        <v>34</v>
      </c>
      <c r="B35" s="8">
        <v>43053</v>
      </c>
      <c r="C35" s="1" t="s">
        <v>89</v>
      </c>
      <c r="D35">
        <v>10</v>
      </c>
      <c r="E35" t="s">
        <v>9</v>
      </c>
      <c r="F35">
        <v>1</v>
      </c>
    </row>
    <row r="36" spans="1:6" x14ac:dyDescent="0.3">
      <c r="A36" s="1">
        <v>35</v>
      </c>
      <c r="B36" s="8">
        <v>43053</v>
      </c>
      <c r="C36" s="7" t="s">
        <v>90</v>
      </c>
      <c r="D36">
        <v>11</v>
      </c>
      <c r="E36" t="s">
        <v>9</v>
      </c>
      <c r="F36">
        <v>1</v>
      </c>
    </row>
    <row r="37" spans="1:6" x14ac:dyDescent="0.3">
      <c r="A37" s="1">
        <v>36</v>
      </c>
      <c r="B37" s="8">
        <v>43053</v>
      </c>
      <c r="C37" t="s">
        <v>91</v>
      </c>
      <c r="D37">
        <v>12</v>
      </c>
      <c r="E37" t="s">
        <v>9</v>
      </c>
      <c r="F37">
        <v>1</v>
      </c>
    </row>
    <row r="38" spans="1:6" x14ac:dyDescent="0.3">
      <c r="A38" s="1">
        <v>37</v>
      </c>
      <c r="B38" s="8">
        <v>43053</v>
      </c>
      <c r="C38" t="s">
        <v>92</v>
      </c>
      <c r="D38">
        <v>13</v>
      </c>
      <c r="E38" t="s">
        <v>9</v>
      </c>
      <c r="F38">
        <v>1</v>
      </c>
    </row>
    <row r="39" spans="1:6" x14ac:dyDescent="0.3">
      <c r="A39" s="1">
        <v>38</v>
      </c>
      <c r="B39" s="8">
        <v>43053</v>
      </c>
      <c r="C39" t="s">
        <v>107</v>
      </c>
      <c r="D39">
        <v>14</v>
      </c>
      <c r="E39" t="s">
        <v>9</v>
      </c>
      <c r="F39">
        <v>1</v>
      </c>
    </row>
    <row r="40" spans="1:6" x14ac:dyDescent="0.3">
      <c r="A40" s="1">
        <v>39</v>
      </c>
      <c r="B40" s="8">
        <v>43053</v>
      </c>
      <c r="C40" s="7" t="s">
        <v>94</v>
      </c>
      <c r="D40">
        <v>15</v>
      </c>
      <c r="E40" t="s">
        <v>9</v>
      </c>
      <c r="F40">
        <v>1</v>
      </c>
    </row>
    <row r="41" spans="1:6" x14ac:dyDescent="0.3">
      <c r="A41" s="1">
        <v>40</v>
      </c>
      <c r="B41" s="8">
        <v>43053</v>
      </c>
      <c r="C41" t="s">
        <v>95</v>
      </c>
      <c r="D41">
        <v>16</v>
      </c>
      <c r="E41" t="s">
        <v>9</v>
      </c>
      <c r="F41">
        <v>1</v>
      </c>
    </row>
    <row r="42" spans="1:6" x14ac:dyDescent="0.3">
      <c r="A42" s="1">
        <v>41</v>
      </c>
      <c r="B42" s="8">
        <v>43052</v>
      </c>
      <c r="C42" s="1" t="s">
        <v>88</v>
      </c>
      <c r="D42">
        <v>1</v>
      </c>
      <c r="E42" t="s">
        <v>10</v>
      </c>
      <c r="F42">
        <v>1</v>
      </c>
    </row>
    <row r="43" spans="1:6" x14ac:dyDescent="0.3">
      <c r="A43" s="1">
        <v>42</v>
      </c>
      <c r="B43" s="8">
        <v>43052</v>
      </c>
      <c r="C43" s="1" t="s">
        <v>89</v>
      </c>
      <c r="D43">
        <v>2</v>
      </c>
      <c r="E43" t="s">
        <v>10</v>
      </c>
      <c r="F43">
        <v>1</v>
      </c>
    </row>
    <row r="44" spans="1:6" x14ac:dyDescent="0.3">
      <c r="A44" s="1">
        <v>43</v>
      </c>
      <c r="B44" s="8">
        <v>43052</v>
      </c>
      <c r="C44" s="7" t="s">
        <v>90</v>
      </c>
      <c r="D44">
        <v>3</v>
      </c>
      <c r="E44" t="s">
        <v>10</v>
      </c>
      <c r="F44">
        <v>1</v>
      </c>
    </row>
    <row r="45" spans="1:6" x14ac:dyDescent="0.3">
      <c r="A45" s="1">
        <v>44</v>
      </c>
      <c r="B45" s="8">
        <v>43052</v>
      </c>
      <c r="C45" t="s">
        <v>91</v>
      </c>
      <c r="D45">
        <v>4</v>
      </c>
      <c r="E45" t="s">
        <v>10</v>
      </c>
      <c r="F45">
        <v>1</v>
      </c>
    </row>
    <row r="46" spans="1:6" x14ac:dyDescent="0.3">
      <c r="A46" s="1">
        <v>45</v>
      </c>
      <c r="B46" s="8">
        <v>43052</v>
      </c>
      <c r="C46" s="1" t="s">
        <v>88</v>
      </c>
      <c r="D46">
        <v>1</v>
      </c>
      <c r="E46" t="s">
        <v>17</v>
      </c>
      <c r="F46">
        <v>1</v>
      </c>
    </row>
    <row r="47" spans="1:6" x14ac:dyDescent="0.3">
      <c r="A47" s="1">
        <v>46</v>
      </c>
      <c r="B47" s="8">
        <v>43052</v>
      </c>
      <c r="C47" s="1" t="s">
        <v>89</v>
      </c>
      <c r="D47">
        <v>2</v>
      </c>
      <c r="E47" t="s">
        <v>17</v>
      </c>
      <c r="F47">
        <v>1</v>
      </c>
    </row>
    <row r="48" spans="1:6" x14ac:dyDescent="0.3">
      <c r="A48" s="1">
        <v>47</v>
      </c>
      <c r="B48" s="8">
        <v>43052</v>
      </c>
      <c r="C48" s="7" t="s">
        <v>90</v>
      </c>
      <c r="D48">
        <v>3</v>
      </c>
      <c r="E48" t="s">
        <v>17</v>
      </c>
      <c r="F48">
        <v>1</v>
      </c>
    </row>
    <row r="49" spans="1:6" x14ac:dyDescent="0.3">
      <c r="A49" s="1">
        <v>48</v>
      </c>
      <c r="B49" s="8">
        <v>43052</v>
      </c>
      <c r="C49" t="s">
        <v>91</v>
      </c>
      <c r="D49">
        <v>4</v>
      </c>
      <c r="E49" t="s">
        <v>17</v>
      </c>
      <c r="F49">
        <v>1</v>
      </c>
    </row>
    <row r="50" spans="1:6" x14ac:dyDescent="0.3">
      <c r="A50" s="1">
        <v>49</v>
      </c>
      <c r="B50" s="8">
        <v>43052</v>
      </c>
      <c r="C50" t="s">
        <v>92</v>
      </c>
      <c r="D50">
        <v>5</v>
      </c>
      <c r="E50" t="s">
        <v>17</v>
      </c>
      <c r="F50">
        <v>1</v>
      </c>
    </row>
    <row r="51" spans="1:6" x14ac:dyDescent="0.3">
      <c r="A51" s="1">
        <v>50</v>
      </c>
      <c r="B51" s="8">
        <v>43052</v>
      </c>
      <c r="C51" t="s">
        <v>107</v>
      </c>
      <c r="D51">
        <v>6</v>
      </c>
      <c r="E51" t="s">
        <v>17</v>
      </c>
      <c r="F51">
        <v>1</v>
      </c>
    </row>
    <row r="52" spans="1:6" x14ac:dyDescent="0.3">
      <c r="A52" s="1">
        <v>51</v>
      </c>
      <c r="B52" s="8">
        <v>43052</v>
      </c>
      <c r="C52" s="7" t="s">
        <v>94</v>
      </c>
      <c r="D52">
        <v>7</v>
      </c>
      <c r="E52" t="s">
        <v>17</v>
      </c>
      <c r="F52">
        <v>1</v>
      </c>
    </row>
    <row r="53" spans="1:6" x14ac:dyDescent="0.3">
      <c r="A53" s="1">
        <v>52</v>
      </c>
      <c r="B53" s="8">
        <v>43052</v>
      </c>
      <c r="C53" t="s">
        <v>95</v>
      </c>
      <c r="D53">
        <v>8</v>
      </c>
      <c r="E53" t="s">
        <v>17</v>
      </c>
      <c r="F53">
        <v>1</v>
      </c>
    </row>
    <row r="54" spans="1:6" x14ac:dyDescent="0.3">
      <c r="A54" s="1">
        <v>53</v>
      </c>
      <c r="B54" s="8">
        <v>43053</v>
      </c>
      <c r="C54" s="1" t="s">
        <v>88</v>
      </c>
      <c r="D54">
        <v>9</v>
      </c>
      <c r="E54" t="s">
        <v>17</v>
      </c>
      <c r="F54">
        <v>1</v>
      </c>
    </row>
    <row r="55" spans="1:6" x14ac:dyDescent="0.3">
      <c r="A55" s="1">
        <v>54</v>
      </c>
      <c r="B55" s="8">
        <v>43053</v>
      </c>
      <c r="C55" s="1" t="s">
        <v>89</v>
      </c>
      <c r="D55">
        <v>10</v>
      </c>
      <c r="E55" t="s">
        <v>17</v>
      </c>
      <c r="F55">
        <v>1</v>
      </c>
    </row>
    <row r="56" spans="1:6" x14ac:dyDescent="0.3">
      <c r="A56" s="1">
        <v>55</v>
      </c>
      <c r="B56" s="8">
        <v>43053</v>
      </c>
      <c r="C56" s="7" t="s">
        <v>90</v>
      </c>
      <c r="D56">
        <v>11</v>
      </c>
      <c r="E56" t="s">
        <v>17</v>
      </c>
      <c r="F56">
        <v>1</v>
      </c>
    </row>
    <row r="57" spans="1:6" x14ac:dyDescent="0.3">
      <c r="A57" s="1">
        <v>56</v>
      </c>
      <c r="B57" s="8">
        <v>43053</v>
      </c>
      <c r="C57" t="s">
        <v>91</v>
      </c>
      <c r="D57">
        <v>12</v>
      </c>
      <c r="E57" t="s">
        <v>17</v>
      </c>
      <c r="F57">
        <v>1</v>
      </c>
    </row>
    <row r="58" spans="1:6" x14ac:dyDescent="0.3">
      <c r="A58" s="1">
        <v>57</v>
      </c>
      <c r="B58" s="8">
        <v>43053</v>
      </c>
      <c r="C58" t="s">
        <v>92</v>
      </c>
      <c r="D58">
        <v>13</v>
      </c>
      <c r="E58" t="s">
        <v>17</v>
      </c>
      <c r="F58">
        <v>1</v>
      </c>
    </row>
    <row r="59" spans="1:6" x14ac:dyDescent="0.3">
      <c r="A59" s="1">
        <v>58</v>
      </c>
      <c r="B59" s="8">
        <v>43053</v>
      </c>
      <c r="C59" t="s">
        <v>107</v>
      </c>
      <c r="D59">
        <v>14</v>
      </c>
      <c r="E59" t="s">
        <v>17</v>
      </c>
      <c r="F59">
        <v>1</v>
      </c>
    </row>
    <row r="60" spans="1:6" x14ac:dyDescent="0.3">
      <c r="A60" s="1">
        <v>59</v>
      </c>
      <c r="B60" s="8">
        <v>43053</v>
      </c>
      <c r="C60" s="7" t="s">
        <v>94</v>
      </c>
      <c r="D60">
        <v>15</v>
      </c>
      <c r="E60" t="s">
        <v>17</v>
      </c>
      <c r="F60">
        <v>1</v>
      </c>
    </row>
    <row r="61" spans="1:6" x14ac:dyDescent="0.3">
      <c r="A61" s="1">
        <v>60</v>
      </c>
      <c r="B61" s="8">
        <v>43053</v>
      </c>
      <c r="C61" t="s">
        <v>95</v>
      </c>
      <c r="D61">
        <v>16</v>
      </c>
      <c r="E61" t="s">
        <v>17</v>
      </c>
      <c r="F61">
        <v>1</v>
      </c>
    </row>
    <row r="62" spans="1:6" x14ac:dyDescent="0.3">
      <c r="A62" s="1">
        <v>61</v>
      </c>
      <c r="B62" s="8">
        <v>43054</v>
      </c>
      <c r="C62" s="1" t="s">
        <v>88</v>
      </c>
      <c r="D62">
        <v>17</v>
      </c>
      <c r="E62" t="s">
        <v>17</v>
      </c>
      <c r="F62">
        <v>1</v>
      </c>
    </row>
    <row r="63" spans="1:6" x14ac:dyDescent="0.3">
      <c r="A63" s="1">
        <v>62</v>
      </c>
      <c r="B63" s="8">
        <v>43054</v>
      </c>
      <c r="C63" s="1" t="s">
        <v>89</v>
      </c>
      <c r="D63">
        <v>18</v>
      </c>
      <c r="E63" t="s">
        <v>17</v>
      </c>
      <c r="F63">
        <v>1</v>
      </c>
    </row>
    <row r="64" spans="1:6" x14ac:dyDescent="0.3">
      <c r="A64" s="1">
        <v>63</v>
      </c>
      <c r="B64" s="8">
        <v>43054</v>
      </c>
      <c r="C64" s="7" t="s">
        <v>90</v>
      </c>
      <c r="D64">
        <v>19</v>
      </c>
      <c r="E64" t="s">
        <v>17</v>
      </c>
      <c r="F64">
        <v>1</v>
      </c>
    </row>
    <row r="65" spans="1:6" x14ac:dyDescent="0.3">
      <c r="A65" s="1">
        <v>64</v>
      </c>
      <c r="B65" s="8">
        <v>43054</v>
      </c>
      <c r="C65" t="s">
        <v>91</v>
      </c>
      <c r="D65">
        <v>20</v>
      </c>
      <c r="E65" t="s">
        <v>17</v>
      </c>
      <c r="F65">
        <v>1</v>
      </c>
    </row>
    <row r="66" spans="1:6" x14ac:dyDescent="0.3">
      <c r="A66" s="1">
        <v>65</v>
      </c>
      <c r="B66" s="8">
        <v>43054</v>
      </c>
      <c r="C66" t="s">
        <v>92</v>
      </c>
      <c r="D66">
        <v>21</v>
      </c>
      <c r="E66" t="s">
        <v>17</v>
      </c>
      <c r="F66">
        <v>1</v>
      </c>
    </row>
    <row r="67" spans="1:6" x14ac:dyDescent="0.3">
      <c r="A67" s="1">
        <v>66</v>
      </c>
      <c r="B67" s="8">
        <v>43054</v>
      </c>
      <c r="C67" t="s">
        <v>107</v>
      </c>
      <c r="D67">
        <v>22</v>
      </c>
      <c r="E67" t="s">
        <v>17</v>
      </c>
      <c r="F67">
        <v>1</v>
      </c>
    </row>
    <row r="68" spans="1:6" x14ac:dyDescent="0.3">
      <c r="A68" s="1">
        <v>67</v>
      </c>
      <c r="B68" s="8">
        <v>43054</v>
      </c>
      <c r="C68" s="7" t="s">
        <v>94</v>
      </c>
      <c r="D68">
        <v>23</v>
      </c>
      <c r="E68" t="s">
        <v>17</v>
      </c>
      <c r="F68">
        <v>1</v>
      </c>
    </row>
    <row r="69" spans="1:6" x14ac:dyDescent="0.3">
      <c r="A69" s="1">
        <v>68</v>
      </c>
      <c r="B69" s="8">
        <v>43054</v>
      </c>
      <c r="C69" t="s">
        <v>95</v>
      </c>
      <c r="D69">
        <v>24</v>
      </c>
      <c r="E69" t="s">
        <v>17</v>
      </c>
      <c r="F69">
        <v>1</v>
      </c>
    </row>
    <row r="70" spans="1:6" x14ac:dyDescent="0.3">
      <c r="A70" s="1">
        <v>69</v>
      </c>
      <c r="B70" s="8">
        <v>43055</v>
      </c>
      <c r="C70" s="1" t="s">
        <v>88</v>
      </c>
      <c r="D70">
        <v>25</v>
      </c>
      <c r="E70" t="s">
        <v>17</v>
      </c>
      <c r="F70">
        <v>1</v>
      </c>
    </row>
    <row r="71" spans="1:6" x14ac:dyDescent="0.3">
      <c r="A71" s="1">
        <v>70</v>
      </c>
      <c r="B71" s="8">
        <v>43055</v>
      </c>
      <c r="C71" s="1" t="s">
        <v>89</v>
      </c>
      <c r="D71">
        <v>26</v>
      </c>
      <c r="E71" t="s">
        <v>17</v>
      </c>
      <c r="F71">
        <v>1</v>
      </c>
    </row>
    <row r="72" spans="1:6" x14ac:dyDescent="0.3">
      <c r="A72" s="1">
        <v>71</v>
      </c>
      <c r="B72" s="8">
        <v>43055</v>
      </c>
      <c r="C72" s="7" t="s">
        <v>90</v>
      </c>
      <c r="D72">
        <v>27</v>
      </c>
      <c r="E72" t="s">
        <v>17</v>
      </c>
      <c r="F72">
        <v>1</v>
      </c>
    </row>
    <row r="73" spans="1:6" x14ac:dyDescent="0.3">
      <c r="A73" s="1">
        <v>72</v>
      </c>
      <c r="B73" s="8">
        <v>43055</v>
      </c>
      <c r="C73" t="s">
        <v>91</v>
      </c>
      <c r="D73">
        <v>28</v>
      </c>
      <c r="E73" t="s">
        <v>17</v>
      </c>
      <c r="F73">
        <v>1</v>
      </c>
    </row>
    <row r="74" spans="1:6" x14ac:dyDescent="0.3">
      <c r="A74" s="1">
        <v>73</v>
      </c>
      <c r="B74" s="8">
        <v>43055</v>
      </c>
      <c r="C74" t="s">
        <v>92</v>
      </c>
      <c r="D74">
        <v>29</v>
      </c>
      <c r="E74" t="s">
        <v>17</v>
      </c>
      <c r="F74">
        <v>1</v>
      </c>
    </row>
    <row r="75" spans="1:6" x14ac:dyDescent="0.3">
      <c r="A75" s="1">
        <v>74</v>
      </c>
      <c r="B75" s="8">
        <v>43055</v>
      </c>
      <c r="C75" t="s">
        <v>107</v>
      </c>
      <c r="D75">
        <v>30</v>
      </c>
      <c r="E75" t="s">
        <v>17</v>
      </c>
      <c r="F75">
        <v>1</v>
      </c>
    </row>
    <row r="76" spans="1:6" x14ac:dyDescent="0.3">
      <c r="A76" s="1">
        <v>75</v>
      </c>
      <c r="B76" s="8">
        <v>43055</v>
      </c>
      <c r="C76" s="7" t="s">
        <v>94</v>
      </c>
      <c r="D76">
        <v>31</v>
      </c>
      <c r="E76" t="s">
        <v>17</v>
      </c>
      <c r="F76">
        <v>1</v>
      </c>
    </row>
    <row r="77" spans="1:6" x14ac:dyDescent="0.3">
      <c r="A77" s="1">
        <v>76</v>
      </c>
      <c r="B77" s="8">
        <v>43055</v>
      </c>
      <c r="C77" t="s">
        <v>95</v>
      </c>
      <c r="D77">
        <v>32</v>
      </c>
      <c r="E77" t="s">
        <v>17</v>
      </c>
      <c r="F77">
        <v>1</v>
      </c>
    </row>
    <row r="78" spans="1:6" x14ac:dyDescent="0.3">
      <c r="A78" s="1">
        <v>77</v>
      </c>
      <c r="B78" s="8">
        <v>43059</v>
      </c>
      <c r="C78" s="1" t="s">
        <v>88</v>
      </c>
      <c r="D78">
        <v>41</v>
      </c>
      <c r="E78" t="s">
        <v>17</v>
      </c>
      <c r="F78">
        <v>1</v>
      </c>
    </row>
    <row r="79" spans="1:6" x14ac:dyDescent="0.3">
      <c r="A79" s="1">
        <v>78</v>
      </c>
      <c r="B79" s="8">
        <v>43059</v>
      </c>
      <c r="C79" s="1" t="s">
        <v>89</v>
      </c>
      <c r="D79">
        <v>42</v>
      </c>
      <c r="E79" t="s">
        <v>17</v>
      </c>
      <c r="F79">
        <v>1</v>
      </c>
    </row>
    <row r="80" spans="1:6" x14ac:dyDescent="0.3">
      <c r="A80" s="1">
        <v>79</v>
      </c>
      <c r="B80" s="8">
        <v>43059</v>
      </c>
      <c r="C80" s="7" t="s">
        <v>90</v>
      </c>
      <c r="D80">
        <v>43</v>
      </c>
      <c r="E80" t="s">
        <v>17</v>
      </c>
      <c r="F80">
        <v>1</v>
      </c>
    </row>
    <row r="81" spans="1:6" x14ac:dyDescent="0.3">
      <c r="A81" s="1">
        <v>80</v>
      </c>
      <c r="B81" s="8">
        <v>43059</v>
      </c>
      <c r="C81" t="s">
        <v>91</v>
      </c>
      <c r="D81">
        <v>44</v>
      </c>
      <c r="E81" t="s">
        <v>17</v>
      </c>
      <c r="F81">
        <v>1</v>
      </c>
    </row>
    <row r="82" spans="1:6" x14ac:dyDescent="0.3">
      <c r="A82" s="1">
        <v>81</v>
      </c>
      <c r="B82" s="8">
        <v>43059</v>
      </c>
      <c r="C82" t="s">
        <v>92</v>
      </c>
      <c r="D82">
        <v>45</v>
      </c>
      <c r="E82" t="s">
        <v>17</v>
      </c>
      <c r="F82">
        <v>1</v>
      </c>
    </row>
    <row r="83" spans="1:6" x14ac:dyDescent="0.3">
      <c r="A83" s="1">
        <v>82</v>
      </c>
      <c r="B83" s="8">
        <v>43059</v>
      </c>
      <c r="C83" t="s">
        <v>107</v>
      </c>
      <c r="D83">
        <v>46</v>
      </c>
      <c r="E83" t="s">
        <v>17</v>
      </c>
      <c r="F83">
        <v>1</v>
      </c>
    </row>
    <row r="84" spans="1:6" x14ac:dyDescent="0.3">
      <c r="A84" s="1">
        <v>83</v>
      </c>
      <c r="B84" s="8">
        <v>43059</v>
      </c>
      <c r="C84" s="7" t="s">
        <v>94</v>
      </c>
      <c r="D84">
        <v>47</v>
      </c>
      <c r="E84" t="s">
        <v>17</v>
      </c>
      <c r="F84">
        <v>1</v>
      </c>
    </row>
    <row r="85" spans="1:6" x14ac:dyDescent="0.3">
      <c r="A85" s="1">
        <v>84</v>
      </c>
      <c r="B85" s="8">
        <v>43059</v>
      </c>
      <c r="C85" t="s">
        <v>95</v>
      </c>
      <c r="D85">
        <v>48</v>
      </c>
      <c r="E85" t="s">
        <v>17</v>
      </c>
      <c r="F85">
        <v>1</v>
      </c>
    </row>
    <row r="86" spans="1:6" x14ac:dyDescent="0.3">
      <c r="A86" s="1">
        <v>85</v>
      </c>
      <c r="B86" s="8">
        <v>43060</v>
      </c>
      <c r="C86" s="1" t="s">
        <v>88</v>
      </c>
      <c r="D86">
        <v>49</v>
      </c>
      <c r="E86" t="s">
        <v>17</v>
      </c>
      <c r="F86">
        <v>1</v>
      </c>
    </row>
    <row r="87" spans="1:6" x14ac:dyDescent="0.3">
      <c r="A87" s="1">
        <v>86</v>
      </c>
      <c r="B87" s="8">
        <v>43060</v>
      </c>
      <c r="C87" s="1" t="s">
        <v>89</v>
      </c>
      <c r="D87">
        <v>50</v>
      </c>
      <c r="E87" t="s">
        <v>17</v>
      </c>
      <c r="F87">
        <v>1</v>
      </c>
    </row>
    <row r="88" spans="1:6" x14ac:dyDescent="0.3">
      <c r="A88" s="1">
        <v>87</v>
      </c>
      <c r="B88" s="8">
        <v>43060</v>
      </c>
      <c r="C88" s="7" t="s">
        <v>90</v>
      </c>
      <c r="D88">
        <v>51</v>
      </c>
      <c r="E88" t="s">
        <v>17</v>
      </c>
      <c r="F88">
        <v>1</v>
      </c>
    </row>
    <row r="89" spans="1:6" x14ac:dyDescent="0.3">
      <c r="A89" s="1">
        <v>88</v>
      </c>
      <c r="B89" s="8">
        <v>43060</v>
      </c>
      <c r="C89" t="s">
        <v>91</v>
      </c>
      <c r="D89">
        <v>52</v>
      </c>
      <c r="E89" t="s">
        <v>17</v>
      </c>
      <c r="F89">
        <v>1</v>
      </c>
    </row>
    <row r="90" spans="1:6" x14ac:dyDescent="0.3">
      <c r="A90" s="1">
        <v>89</v>
      </c>
      <c r="B90" s="8">
        <v>43060</v>
      </c>
      <c r="C90" t="s">
        <v>92</v>
      </c>
      <c r="D90">
        <v>53</v>
      </c>
      <c r="E90" t="s">
        <v>17</v>
      </c>
      <c r="F90">
        <v>1</v>
      </c>
    </row>
    <row r="91" spans="1:6" x14ac:dyDescent="0.3">
      <c r="A91" s="1">
        <v>90</v>
      </c>
      <c r="B91" s="8">
        <v>43060</v>
      </c>
      <c r="C91" t="s">
        <v>107</v>
      </c>
      <c r="D91">
        <v>54</v>
      </c>
      <c r="E91" t="s">
        <v>17</v>
      </c>
      <c r="F91">
        <v>1</v>
      </c>
    </row>
    <row r="92" spans="1:6" x14ac:dyDescent="0.3">
      <c r="A92" s="1">
        <v>91</v>
      </c>
      <c r="B92" s="8">
        <v>43060</v>
      </c>
      <c r="C92" s="7" t="s">
        <v>94</v>
      </c>
      <c r="D92">
        <v>55</v>
      </c>
      <c r="E92" t="s">
        <v>17</v>
      </c>
      <c r="F92">
        <v>1</v>
      </c>
    </row>
    <row r="93" spans="1:6" x14ac:dyDescent="0.3">
      <c r="A93" s="1">
        <v>92</v>
      </c>
      <c r="B93" s="8">
        <v>43060</v>
      </c>
      <c r="C93" t="s">
        <v>95</v>
      </c>
      <c r="D93">
        <v>56</v>
      </c>
      <c r="E93" t="s">
        <v>17</v>
      </c>
      <c r="F93">
        <v>1</v>
      </c>
    </row>
    <row r="94" spans="1:6" x14ac:dyDescent="0.3">
      <c r="A94" s="1">
        <v>93</v>
      </c>
      <c r="B94" s="8">
        <v>43055</v>
      </c>
      <c r="C94" s="1" t="s">
        <v>88</v>
      </c>
      <c r="D94">
        <v>25</v>
      </c>
      <c r="E94" t="s">
        <v>13</v>
      </c>
      <c r="F94">
        <v>1</v>
      </c>
    </row>
    <row r="95" spans="1:6" x14ac:dyDescent="0.3">
      <c r="A95" s="1">
        <v>94</v>
      </c>
      <c r="B95" s="8">
        <v>43055</v>
      </c>
      <c r="C95" s="1" t="s">
        <v>89</v>
      </c>
      <c r="D95">
        <v>26</v>
      </c>
      <c r="E95" t="s">
        <v>13</v>
      </c>
      <c r="F95">
        <v>1</v>
      </c>
    </row>
    <row r="96" spans="1:6" x14ac:dyDescent="0.3">
      <c r="A96" s="1">
        <v>95</v>
      </c>
      <c r="B96" s="8">
        <v>43054</v>
      </c>
      <c r="C96" s="1" t="s">
        <v>88</v>
      </c>
      <c r="D96">
        <v>17</v>
      </c>
      <c r="E96" t="s">
        <v>15</v>
      </c>
      <c r="F96">
        <v>1</v>
      </c>
    </row>
    <row r="97" spans="1:6" x14ac:dyDescent="0.3">
      <c r="A97" s="1">
        <v>96</v>
      </c>
      <c r="B97" s="8">
        <v>43055</v>
      </c>
      <c r="C97" s="1" t="s">
        <v>88</v>
      </c>
      <c r="D97">
        <v>25</v>
      </c>
      <c r="E97" t="s">
        <v>20</v>
      </c>
      <c r="F97">
        <v>1</v>
      </c>
    </row>
    <row r="98" spans="1:6" x14ac:dyDescent="0.3">
      <c r="A98" s="1">
        <v>97</v>
      </c>
      <c r="B98" s="8">
        <v>43055</v>
      </c>
      <c r="C98" s="1" t="s">
        <v>89</v>
      </c>
      <c r="D98">
        <v>26</v>
      </c>
      <c r="E98" t="s">
        <v>20</v>
      </c>
      <c r="F98">
        <v>1</v>
      </c>
    </row>
    <row r="99" spans="1:6" x14ac:dyDescent="0.3">
      <c r="A99" s="1">
        <v>98</v>
      </c>
      <c r="B99" s="8">
        <v>43055</v>
      </c>
      <c r="C99" s="7" t="s">
        <v>90</v>
      </c>
      <c r="D99">
        <v>27</v>
      </c>
      <c r="E99" t="s">
        <v>20</v>
      </c>
      <c r="F99">
        <v>1</v>
      </c>
    </row>
    <row r="100" spans="1:6" x14ac:dyDescent="0.3">
      <c r="A100" s="1">
        <v>99</v>
      </c>
      <c r="B100" s="8">
        <v>43055</v>
      </c>
      <c r="C100" t="s">
        <v>91</v>
      </c>
      <c r="D100">
        <v>28</v>
      </c>
      <c r="E100" t="s">
        <v>20</v>
      </c>
      <c r="F100">
        <v>1</v>
      </c>
    </row>
    <row r="101" spans="1:6" x14ac:dyDescent="0.3">
      <c r="A101" s="1">
        <v>100</v>
      </c>
      <c r="B101" s="8">
        <v>43056</v>
      </c>
      <c r="C101" s="1" t="s">
        <v>88</v>
      </c>
      <c r="D101">
        <v>33</v>
      </c>
      <c r="E101" t="s">
        <v>22</v>
      </c>
      <c r="F101">
        <v>1</v>
      </c>
    </row>
    <row r="102" spans="1:6" x14ac:dyDescent="0.3">
      <c r="A102" s="1">
        <v>101</v>
      </c>
      <c r="B102" s="8">
        <v>43056</v>
      </c>
      <c r="C102" s="1" t="s">
        <v>89</v>
      </c>
      <c r="D102">
        <v>34</v>
      </c>
      <c r="E102" t="s">
        <v>22</v>
      </c>
      <c r="F102">
        <v>1</v>
      </c>
    </row>
    <row r="103" spans="1:6" x14ac:dyDescent="0.3">
      <c r="A103" s="1">
        <v>102</v>
      </c>
      <c r="B103" s="8">
        <v>43056</v>
      </c>
      <c r="C103" s="7" t="s">
        <v>90</v>
      </c>
      <c r="D103">
        <v>35</v>
      </c>
      <c r="E103" t="s">
        <v>22</v>
      </c>
      <c r="F103">
        <v>1</v>
      </c>
    </row>
    <row r="104" spans="1:6" x14ac:dyDescent="0.3">
      <c r="A104" s="1">
        <v>103</v>
      </c>
      <c r="B104" s="8">
        <v>43056</v>
      </c>
      <c r="C104" t="s">
        <v>107</v>
      </c>
      <c r="D104">
        <v>38</v>
      </c>
      <c r="E104" t="s">
        <v>22</v>
      </c>
      <c r="F104">
        <v>1</v>
      </c>
    </row>
    <row r="105" spans="1:6" x14ac:dyDescent="0.3">
      <c r="A105" s="1">
        <v>104</v>
      </c>
      <c r="B105" s="8">
        <v>43056</v>
      </c>
      <c r="C105" s="7" t="s">
        <v>94</v>
      </c>
      <c r="D105">
        <v>39</v>
      </c>
      <c r="E105" t="s">
        <v>22</v>
      </c>
      <c r="F105">
        <v>1</v>
      </c>
    </row>
    <row r="106" spans="1:6" x14ac:dyDescent="0.3">
      <c r="A106" s="1">
        <v>105</v>
      </c>
      <c r="B106" s="8">
        <v>43056</v>
      </c>
      <c r="C106" t="s">
        <v>95</v>
      </c>
      <c r="D106">
        <v>40</v>
      </c>
      <c r="E106" t="s">
        <v>22</v>
      </c>
      <c r="F106">
        <v>1</v>
      </c>
    </row>
    <row r="107" spans="1:6" x14ac:dyDescent="0.3">
      <c r="A107" s="1">
        <v>106</v>
      </c>
      <c r="B107" s="8">
        <v>43059</v>
      </c>
      <c r="C107" s="1" t="s">
        <v>88</v>
      </c>
      <c r="D107">
        <v>41</v>
      </c>
      <c r="E107" t="s">
        <v>22</v>
      </c>
      <c r="F107">
        <v>1</v>
      </c>
    </row>
    <row r="108" spans="1:6" x14ac:dyDescent="0.3">
      <c r="A108" s="1">
        <v>107</v>
      </c>
      <c r="B108" s="8">
        <v>43059</v>
      </c>
      <c r="C108" s="1" t="s">
        <v>89</v>
      </c>
      <c r="D108">
        <v>42</v>
      </c>
      <c r="E108" t="s">
        <v>22</v>
      </c>
      <c r="F108">
        <v>1</v>
      </c>
    </row>
    <row r="109" spans="1:6" x14ac:dyDescent="0.3">
      <c r="A109" s="1">
        <v>108</v>
      </c>
      <c r="B109" s="8">
        <v>43059</v>
      </c>
      <c r="C109" s="7" t="s">
        <v>90</v>
      </c>
      <c r="D109">
        <v>43</v>
      </c>
      <c r="E109" t="s">
        <v>22</v>
      </c>
      <c r="F109">
        <v>1</v>
      </c>
    </row>
    <row r="110" spans="1:6" x14ac:dyDescent="0.3">
      <c r="A110" s="1">
        <v>109</v>
      </c>
      <c r="B110" s="8">
        <v>43059</v>
      </c>
      <c r="C110" t="s">
        <v>91</v>
      </c>
      <c r="D110">
        <v>44</v>
      </c>
      <c r="E110" t="s">
        <v>22</v>
      </c>
      <c r="F110">
        <v>1</v>
      </c>
    </row>
    <row r="111" spans="1:6" x14ac:dyDescent="0.3">
      <c r="A111" s="1">
        <v>110</v>
      </c>
      <c r="B111" s="8">
        <v>43059</v>
      </c>
      <c r="C111" t="s">
        <v>92</v>
      </c>
      <c r="D111">
        <v>45</v>
      </c>
      <c r="E111" t="s">
        <v>22</v>
      </c>
      <c r="F111">
        <v>1</v>
      </c>
    </row>
    <row r="112" spans="1:6" x14ac:dyDescent="0.3">
      <c r="A112" s="1">
        <v>111</v>
      </c>
      <c r="B112" s="8">
        <v>43059</v>
      </c>
      <c r="C112" t="s">
        <v>107</v>
      </c>
      <c r="D112">
        <v>46</v>
      </c>
      <c r="E112" t="s">
        <v>22</v>
      </c>
      <c r="F112">
        <v>1</v>
      </c>
    </row>
    <row r="113" spans="1:6" x14ac:dyDescent="0.3">
      <c r="A113" s="1">
        <v>112</v>
      </c>
      <c r="B113" s="8">
        <v>43059</v>
      </c>
      <c r="C113" t="s">
        <v>95</v>
      </c>
      <c r="D113">
        <v>48</v>
      </c>
      <c r="E113" t="s">
        <v>22</v>
      </c>
      <c r="F113">
        <v>1</v>
      </c>
    </row>
    <row r="114" spans="1:6" x14ac:dyDescent="0.3">
      <c r="A114" s="1">
        <v>113</v>
      </c>
      <c r="B114" s="8">
        <v>43052</v>
      </c>
      <c r="C114" s="1" t="s">
        <v>88</v>
      </c>
      <c r="D114">
        <v>1</v>
      </c>
      <c r="E114" t="s">
        <v>23</v>
      </c>
      <c r="F114">
        <v>1</v>
      </c>
    </row>
    <row r="115" spans="1:6" x14ac:dyDescent="0.3">
      <c r="A115" s="1">
        <v>114</v>
      </c>
      <c r="B115" s="8">
        <v>43052</v>
      </c>
      <c r="C115" s="1" t="s">
        <v>89</v>
      </c>
      <c r="D115">
        <v>2</v>
      </c>
      <c r="E115" t="s">
        <v>23</v>
      </c>
      <c r="F115">
        <v>1</v>
      </c>
    </row>
    <row r="116" spans="1:6" x14ac:dyDescent="0.3">
      <c r="A116" s="1">
        <v>115</v>
      </c>
      <c r="B116" s="8">
        <v>43052</v>
      </c>
      <c r="C116" s="7" t="s">
        <v>90</v>
      </c>
      <c r="D116">
        <v>3</v>
      </c>
      <c r="E116" t="s">
        <v>23</v>
      </c>
      <c r="F116">
        <v>1</v>
      </c>
    </row>
    <row r="117" spans="1:6" x14ac:dyDescent="0.3">
      <c r="A117" s="1">
        <v>116</v>
      </c>
      <c r="B117" s="8">
        <v>43060</v>
      </c>
      <c r="C117" s="1" t="s">
        <v>88</v>
      </c>
      <c r="D117">
        <v>49</v>
      </c>
      <c r="E117" t="s">
        <v>16</v>
      </c>
      <c r="F117">
        <v>1</v>
      </c>
    </row>
    <row r="118" spans="1:6" x14ac:dyDescent="0.3">
      <c r="A118" s="1">
        <v>117</v>
      </c>
      <c r="B118" s="8">
        <v>43060</v>
      </c>
      <c r="C118" s="1" t="s">
        <v>89</v>
      </c>
      <c r="D118">
        <v>50</v>
      </c>
      <c r="E118" t="s">
        <v>16</v>
      </c>
      <c r="F118">
        <v>1</v>
      </c>
    </row>
    <row r="119" spans="1:6" x14ac:dyDescent="0.3">
      <c r="A119" s="1">
        <v>118</v>
      </c>
      <c r="B119" s="8">
        <v>43060</v>
      </c>
      <c r="C119" s="7" t="s">
        <v>90</v>
      </c>
      <c r="D119">
        <v>51</v>
      </c>
      <c r="E119" t="s">
        <v>16</v>
      </c>
      <c r="F119">
        <v>1</v>
      </c>
    </row>
    <row r="120" spans="1:6" x14ac:dyDescent="0.3">
      <c r="A120" s="1">
        <v>119</v>
      </c>
      <c r="B120" s="8">
        <v>43060</v>
      </c>
      <c r="C120" t="s">
        <v>91</v>
      </c>
      <c r="D120">
        <v>52</v>
      </c>
      <c r="E120" t="s">
        <v>16</v>
      </c>
      <c r="F120">
        <v>1</v>
      </c>
    </row>
    <row r="121" spans="1:6" x14ac:dyDescent="0.3">
      <c r="A121" s="1">
        <v>120</v>
      </c>
      <c r="B121" s="8">
        <v>43060</v>
      </c>
      <c r="C121" t="s">
        <v>92</v>
      </c>
      <c r="D121">
        <v>53</v>
      </c>
      <c r="E121" t="s">
        <v>16</v>
      </c>
      <c r="F121">
        <v>1</v>
      </c>
    </row>
    <row r="122" spans="1:6" x14ac:dyDescent="0.3">
      <c r="A122" s="1">
        <v>121</v>
      </c>
      <c r="B122" s="8">
        <v>43060</v>
      </c>
      <c r="C122" t="s">
        <v>107</v>
      </c>
      <c r="D122">
        <v>54</v>
      </c>
      <c r="E122" t="s">
        <v>16</v>
      </c>
      <c r="F122">
        <v>1</v>
      </c>
    </row>
    <row r="123" spans="1:6" x14ac:dyDescent="0.3">
      <c r="A123" s="1">
        <v>122</v>
      </c>
      <c r="B123" s="8">
        <v>43060</v>
      </c>
      <c r="C123" s="7" t="s">
        <v>94</v>
      </c>
      <c r="D123">
        <v>55</v>
      </c>
      <c r="E123" t="s">
        <v>16</v>
      </c>
      <c r="F123">
        <v>1</v>
      </c>
    </row>
    <row r="124" spans="1:6" x14ac:dyDescent="0.3">
      <c r="A124" s="1">
        <v>123</v>
      </c>
      <c r="B124" s="8">
        <v>43060</v>
      </c>
      <c r="C124" t="s">
        <v>95</v>
      </c>
      <c r="D124">
        <v>56</v>
      </c>
      <c r="E124" t="s">
        <v>16</v>
      </c>
      <c r="F124">
        <v>1</v>
      </c>
    </row>
    <row r="125" spans="1:6" x14ac:dyDescent="0.3">
      <c r="A125" s="1"/>
      <c r="B125" s="2"/>
      <c r="C125" s="1"/>
      <c r="D125" s="1"/>
      <c r="E125" s="1"/>
      <c r="F125" s="1" t="str">
        <f>IFERROR( VLOOKUP(Tabel81112[[#This Row],[Ressource_type]],Tabel4[#All],2,1),"")</f>
        <v/>
      </c>
    </row>
    <row r="126" spans="1:6" x14ac:dyDescent="0.3">
      <c r="A126" s="1"/>
      <c r="B126" s="2"/>
      <c r="C126" s="1"/>
      <c r="D126" s="1"/>
      <c r="E126" s="1"/>
      <c r="F126" s="1" t="str">
        <f>IFERROR( VLOOKUP(Tabel81112[[#This Row],[Ressource_type]],Tabel4[#All],2,1),"")</f>
        <v/>
      </c>
    </row>
    <row r="127" spans="1:6" x14ac:dyDescent="0.3">
      <c r="A127" s="1"/>
      <c r="B127" s="2"/>
      <c r="C127" s="1"/>
      <c r="D127" s="1"/>
      <c r="E127" s="1"/>
      <c r="F127" s="1" t="str">
        <f>IFERROR( VLOOKUP(Tabel81112[[#This Row],[Ressource_type]],Tabel4[#All],2,1),"")</f>
        <v/>
      </c>
    </row>
    <row r="128" spans="1:6" x14ac:dyDescent="0.3">
      <c r="A128" s="1"/>
      <c r="B128" s="2"/>
      <c r="C128" s="1"/>
      <c r="D128" s="1"/>
      <c r="E128" s="1"/>
      <c r="F128" s="1" t="str">
        <f>IFERROR( VLOOKUP(Tabel81112[[#This Row],[Ressource_type]],Tabel4[#All],2,1),"")</f>
        <v/>
      </c>
    </row>
    <row r="129" spans="1:6" x14ac:dyDescent="0.3">
      <c r="A129" s="1"/>
      <c r="B129" s="2"/>
      <c r="C129" s="1"/>
      <c r="D129" s="1"/>
      <c r="E129" s="1"/>
      <c r="F129" s="1" t="str">
        <f>IFERROR( VLOOKUP(Tabel81112[[#This Row],[Ressource_type]],Tabel4[#All],2,1),"")</f>
        <v/>
      </c>
    </row>
    <row r="130" spans="1:6" x14ac:dyDescent="0.3">
      <c r="A130" s="1"/>
      <c r="B130" s="2"/>
      <c r="C130" s="1"/>
      <c r="D130" s="1"/>
      <c r="E130" s="1"/>
      <c r="F130" s="1" t="str">
        <f>IFERROR( VLOOKUP(Tabel81112[[#This Row],[Ressource_type]],Tabel4[#All],2,1),"")</f>
        <v/>
      </c>
    </row>
    <row r="131" spans="1:6" x14ac:dyDescent="0.3">
      <c r="A131" s="1"/>
      <c r="B131" s="2"/>
      <c r="C131" s="1"/>
      <c r="D131" s="1"/>
      <c r="E131" s="1"/>
      <c r="F131" s="1" t="str">
        <f>IFERROR( VLOOKUP(Tabel81112[[#This Row],[Ressource_type]],Tabel4[#All],2,1),"")</f>
        <v/>
      </c>
    </row>
    <row r="132" spans="1:6" x14ac:dyDescent="0.3">
      <c r="A132" s="1"/>
      <c r="B132" s="2"/>
      <c r="C132" s="1"/>
      <c r="D132" s="1"/>
      <c r="E132" s="1"/>
      <c r="F132" s="1" t="str">
        <f>IFERROR( VLOOKUP(Tabel81112[[#This Row],[Ressource_type]],Tabel4[#All],2,1),"")</f>
        <v/>
      </c>
    </row>
    <row r="133" spans="1:6" x14ac:dyDescent="0.3">
      <c r="A133" s="1"/>
      <c r="B133" s="2"/>
      <c r="C133" s="1"/>
      <c r="D133" s="1"/>
      <c r="E133" s="1"/>
      <c r="F133" s="1" t="str">
        <f>IFERROR( VLOOKUP(Tabel81112[[#This Row],[Ressource_type]],Tabel4[#All],2,1),"")</f>
        <v/>
      </c>
    </row>
    <row r="134" spans="1:6" x14ac:dyDescent="0.3">
      <c r="A134" s="1"/>
      <c r="B134" s="2"/>
      <c r="C134" s="1"/>
      <c r="D134" s="1"/>
      <c r="E134" s="1"/>
      <c r="F134" s="1" t="str">
        <f>IFERROR( VLOOKUP(Tabel81112[[#This Row],[Ressource_type]],Tabel4[#All],2,1),"")</f>
        <v/>
      </c>
    </row>
    <row r="135" spans="1:6" x14ac:dyDescent="0.3">
      <c r="A135" s="1"/>
      <c r="B135" s="2"/>
      <c r="C135" s="1"/>
      <c r="D135" s="1"/>
      <c r="E135" s="1"/>
      <c r="F135" s="1" t="str">
        <f>IFERROR( VLOOKUP(Tabel81112[[#This Row],[Ressource_type]],Tabel4[#All],2,1),"")</f>
        <v/>
      </c>
    </row>
    <row r="136" spans="1:6" x14ac:dyDescent="0.3">
      <c r="A136" s="1"/>
      <c r="B136" s="2"/>
      <c r="C136" s="1"/>
      <c r="D136" s="1"/>
      <c r="E136" s="1"/>
      <c r="F136" s="1" t="str">
        <f>IFERROR( VLOOKUP(Tabel81112[[#This Row],[Ressource_type]],Tabel4[#All],2,1),"")</f>
        <v/>
      </c>
    </row>
    <row r="137" spans="1:6" x14ac:dyDescent="0.3">
      <c r="A137" s="1"/>
      <c r="B137" s="2"/>
      <c r="C137" s="1"/>
      <c r="D137" s="1"/>
      <c r="E137" s="1"/>
      <c r="F137" s="1" t="str">
        <f>IFERROR( VLOOKUP(Tabel81112[[#This Row],[Ressource_type]],Tabel4[#All],2,1),"")</f>
        <v/>
      </c>
    </row>
    <row r="138" spans="1:6" x14ac:dyDescent="0.3">
      <c r="A138" s="1"/>
      <c r="B138" s="2"/>
      <c r="C138" s="1"/>
      <c r="D138" s="1"/>
      <c r="E138" s="1"/>
      <c r="F138" s="1" t="str">
        <f>IFERROR( VLOOKUP(Tabel81112[[#This Row],[Ressource_type]],Tabel4[#All],2,1),"")</f>
        <v/>
      </c>
    </row>
    <row r="139" spans="1:6" x14ac:dyDescent="0.3">
      <c r="A139" s="1"/>
      <c r="B139" s="2"/>
      <c r="C139" s="1"/>
      <c r="D139" s="1"/>
      <c r="E139" s="1"/>
      <c r="F139" s="1" t="str">
        <f>IFERROR( VLOOKUP(Tabel81112[[#This Row],[Ressource_type]],Tabel4[#All],2,1),"")</f>
        <v/>
      </c>
    </row>
    <row r="140" spans="1:6" x14ac:dyDescent="0.3">
      <c r="A140" s="1"/>
      <c r="B140" s="2"/>
      <c r="C140" s="1"/>
      <c r="D140" s="1"/>
      <c r="E140" s="1"/>
      <c r="F140" s="1" t="str">
        <f>IFERROR( VLOOKUP(Tabel81112[[#This Row],[Ressource_type]],Tabel4[#All],2,1),"")</f>
        <v/>
      </c>
    </row>
    <row r="141" spans="1:6" x14ac:dyDescent="0.3">
      <c r="A141" s="1"/>
      <c r="B141" s="2"/>
      <c r="C141" s="1"/>
      <c r="D141" s="1"/>
      <c r="E141" s="1"/>
      <c r="F141" s="1" t="str">
        <f>IFERROR( VLOOKUP(Tabel81112[[#This Row],[Ressource_type]],Tabel4[#All],2,1),"")</f>
        <v/>
      </c>
    </row>
    <row r="142" spans="1:6" x14ac:dyDescent="0.3">
      <c r="A142" s="1"/>
      <c r="B142" s="2"/>
      <c r="C142" s="1"/>
      <c r="D142" s="1"/>
      <c r="E142" s="1"/>
      <c r="F142" s="1" t="str">
        <f>IFERROR( VLOOKUP(Tabel81112[[#This Row],[Ressource_type]],Tabel4[#All],2,1),"")</f>
        <v/>
      </c>
    </row>
    <row r="143" spans="1:6" x14ac:dyDescent="0.3">
      <c r="A143" s="1"/>
      <c r="B143" s="2"/>
      <c r="C143" s="1"/>
      <c r="D143" s="1"/>
      <c r="E143" s="1"/>
      <c r="F143" s="1" t="str">
        <f>IFERROR( VLOOKUP(Tabel81112[[#This Row],[Ressource_type]],Tabel4[#All],2,1),"")</f>
        <v/>
      </c>
    </row>
    <row r="144" spans="1:6" x14ac:dyDescent="0.3">
      <c r="A144" s="1"/>
      <c r="B144" s="2"/>
      <c r="C144" s="1"/>
      <c r="D144" s="1"/>
      <c r="E144" s="1"/>
      <c r="F144" s="1" t="str">
        <f>IFERROR( VLOOKUP(Tabel81112[[#This Row],[Ressource_type]],Tabel4[#All],2,1),"")</f>
        <v/>
      </c>
    </row>
    <row r="145" spans="1:6" x14ac:dyDescent="0.3">
      <c r="A145" s="1"/>
      <c r="B145" s="2"/>
      <c r="C145" s="1"/>
      <c r="D145" s="1"/>
      <c r="E145" s="1"/>
      <c r="F145" s="1" t="str">
        <f>IFERROR( VLOOKUP(Tabel81112[[#This Row],[Ressource_type]],Tabel4[#All],2,1),"")</f>
        <v/>
      </c>
    </row>
    <row r="146" spans="1:6" x14ac:dyDescent="0.3">
      <c r="A146" s="1"/>
      <c r="B146" s="2"/>
      <c r="C146" s="1"/>
      <c r="D146" s="1"/>
      <c r="E146" s="1"/>
      <c r="F146" s="1" t="str">
        <f>IFERROR( VLOOKUP(Tabel81112[[#This Row],[Ressource_type]],Tabel4[#All],2,1),"")</f>
        <v/>
      </c>
    </row>
    <row r="147" spans="1:6" x14ac:dyDescent="0.3">
      <c r="A147" s="1"/>
      <c r="B147" s="2"/>
      <c r="C147" s="1"/>
      <c r="D147" s="1"/>
      <c r="E147" s="1"/>
      <c r="F147" s="1" t="str">
        <f>IFERROR( VLOOKUP(Tabel81112[[#This Row],[Ressource_type]],Tabel4[#All],2,1),"")</f>
        <v/>
      </c>
    </row>
    <row r="148" spans="1:6" x14ac:dyDescent="0.3">
      <c r="A148" s="1"/>
      <c r="B148" s="2"/>
      <c r="C148" s="1"/>
      <c r="D148" s="1"/>
      <c r="E148" s="1"/>
      <c r="F148" s="1" t="str">
        <f>IFERROR( VLOOKUP(Tabel81112[[#This Row],[Ressource_type]],Tabel4[#All],2,1),"")</f>
        <v/>
      </c>
    </row>
    <row r="149" spans="1:6" x14ac:dyDescent="0.3">
      <c r="A149" s="1"/>
      <c r="B149" s="2"/>
      <c r="C149" s="1"/>
      <c r="D149" s="1"/>
      <c r="E149" s="1"/>
      <c r="F149" s="1" t="str">
        <f>IFERROR( VLOOKUP(Tabel81112[[#This Row],[Ressource_type]],Tabel4[#All],2,1),"")</f>
        <v/>
      </c>
    </row>
    <row r="150" spans="1:6" x14ac:dyDescent="0.3">
      <c r="A150" s="1"/>
      <c r="B150" s="2"/>
      <c r="C150" s="1"/>
      <c r="D150" s="1"/>
      <c r="E150" s="1"/>
      <c r="F150" s="1" t="str">
        <f>IFERROR( VLOOKUP(Tabel81112[[#This Row],[Ressource_type]],Tabel4[#All],2,1),"")</f>
        <v/>
      </c>
    </row>
    <row r="151" spans="1:6" x14ac:dyDescent="0.3">
      <c r="A151" s="1"/>
      <c r="B151" s="2"/>
      <c r="C151" s="1"/>
      <c r="D151" s="1"/>
      <c r="E151" s="1"/>
      <c r="F151" s="1" t="str">
        <f>IFERROR( VLOOKUP(Tabel81112[[#This Row],[Ressource_type]],Tabel4[#All],2,1),"")</f>
        <v/>
      </c>
    </row>
    <row r="152" spans="1:6" x14ac:dyDescent="0.3">
      <c r="A152" s="1"/>
      <c r="B152" s="2"/>
      <c r="C152" s="1"/>
      <c r="D152" s="1"/>
      <c r="E152" s="1"/>
      <c r="F152" s="1" t="str">
        <f>IFERROR( VLOOKUP(Tabel81112[[#This Row],[Ressource_type]],Tabel4[#All],2,1),"")</f>
        <v/>
      </c>
    </row>
    <row r="153" spans="1:6" x14ac:dyDescent="0.3">
      <c r="A153" s="1"/>
      <c r="B153" s="2"/>
      <c r="C153" s="1"/>
      <c r="D153" s="1"/>
      <c r="E153" s="1"/>
      <c r="F153" s="1" t="str">
        <f>IFERROR( VLOOKUP(Tabel81112[[#This Row],[Ressource_type]],Tabel4[#All],2,1),"")</f>
        <v/>
      </c>
    </row>
    <row r="154" spans="1:6" x14ac:dyDescent="0.3">
      <c r="A154" s="1"/>
      <c r="B154" s="2"/>
      <c r="C154" s="1"/>
      <c r="D154" s="1"/>
      <c r="E154" s="1"/>
      <c r="F154" s="1" t="str">
        <f>IFERROR( VLOOKUP(Tabel81112[[#This Row],[Ressource_type]],Tabel4[#All],2,1),"")</f>
        <v/>
      </c>
    </row>
    <row r="155" spans="1:6" x14ac:dyDescent="0.3">
      <c r="A155" s="1"/>
      <c r="B155" s="2"/>
      <c r="C155" s="1"/>
      <c r="D155" s="1"/>
      <c r="E155" s="1"/>
      <c r="F155" s="1" t="str">
        <f>IFERROR( VLOOKUP(Tabel81112[[#This Row],[Ressource_type]],Tabel4[#All],2,1),"")</f>
        <v/>
      </c>
    </row>
    <row r="156" spans="1:6" x14ac:dyDescent="0.3">
      <c r="A156" s="1"/>
      <c r="B156" s="2"/>
      <c r="C156" s="1"/>
      <c r="D156" s="1"/>
      <c r="E156" s="1"/>
      <c r="F156" s="1" t="str">
        <f>IFERROR( VLOOKUP(Tabel81112[[#This Row],[Ressource_type]],Tabel4[#All],2,1),"")</f>
        <v/>
      </c>
    </row>
    <row r="157" spans="1:6" x14ac:dyDescent="0.3">
      <c r="A157" s="1"/>
      <c r="B157" s="2"/>
      <c r="C157" s="1"/>
      <c r="D157" s="1"/>
      <c r="E157" s="1"/>
      <c r="F157" s="1" t="str">
        <f>IFERROR( VLOOKUP(Tabel81112[[#This Row],[Ressource_type]],Tabel4[#All],2,1),"")</f>
        <v/>
      </c>
    </row>
    <row r="158" spans="1:6" x14ac:dyDescent="0.3">
      <c r="A158" s="1"/>
      <c r="B158" s="2"/>
      <c r="C158" s="1"/>
      <c r="D158" s="1"/>
      <c r="E158" s="1"/>
      <c r="F158" s="1" t="str">
        <f>IFERROR( VLOOKUP(Tabel81112[[#This Row],[Ressource_type]],Tabel4[#All],2,1),"")</f>
        <v/>
      </c>
    </row>
    <row r="159" spans="1:6" x14ac:dyDescent="0.3">
      <c r="A159" s="1"/>
      <c r="B159" s="2"/>
      <c r="C159" s="1"/>
      <c r="D159" s="1"/>
      <c r="E159" s="1"/>
      <c r="F159" s="1" t="str">
        <f>IFERROR( VLOOKUP(Tabel81112[[#This Row],[Ressource_type]],Tabel4[#All],2,1),"")</f>
        <v/>
      </c>
    </row>
    <row r="160" spans="1:6" x14ac:dyDescent="0.3">
      <c r="A160" s="1"/>
      <c r="B160" s="2"/>
      <c r="C160" s="1"/>
      <c r="D160" s="1"/>
      <c r="E160" s="1"/>
      <c r="F160" s="1" t="str">
        <f>IFERROR( VLOOKUP(Tabel81112[[#This Row],[Ressource_type]],Tabel4[#All],2,1),"")</f>
        <v/>
      </c>
    </row>
    <row r="161" spans="1:6" x14ac:dyDescent="0.3">
      <c r="A161" s="1"/>
      <c r="B161" s="2"/>
      <c r="C161" s="1"/>
      <c r="D161" s="1"/>
      <c r="E161" s="1"/>
      <c r="F161" s="1" t="str">
        <f>IFERROR( VLOOKUP(Tabel81112[[#This Row],[Ressource_type]],Tabel4[#All],2,1),"")</f>
        <v/>
      </c>
    </row>
  </sheetData>
  <dataValidations count="4">
    <dataValidation type="list" allowBlank="1" showInputMessage="1" showErrorMessage="1" sqref="D2:D161" xr:uid="{00000000-0002-0000-0800-000000000000}">
      <formula1>TIMESLOTS_ID</formula1>
    </dataValidation>
    <dataValidation type="list" allowBlank="1" showInputMessage="1" showErrorMessage="1" sqref="B2:B161" xr:uid="{00000000-0002-0000-0800-000001000000}">
      <formula1>Dates</formula1>
    </dataValidation>
    <dataValidation type="list" allowBlank="1" showInputMessage="1" showErrorMessage="1" sqref="C2:C161" xr:uid="{00000000-0002-0000-0800-000002000000}">
      <formula1>Timeslots_timings</formula1>
    </dataValidation>
    <dataValidation type="list" allowBlank="1" showInputMessage="1" showErrorMessage="1" sqref="E2:E161" xr:uid="{00000000-0002-0000-0800-000003000000}">
      <formula1>Persons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9"/>
  <dimension ref="A1:F161"/>
  <sheetViews>
    <sheetView topLeftCell="A22" workbookViewId="0">
      <selection activeCell="E30" sqref="E30"/>
    </sheetView>
  </sheetViews>
  <sheetFormatPr defaultRowHeight="14.4" x14ac:dyDescent="0.3"/>
  <cols>
    <col min="1" max="1" width="7.33203125" bestFit="1" customWidth="1"/>
    <col min="2" max="2" width="10.33203125" bestFit="1" customWidth="1"/>
    <col min="3" max="3" width="12.5546875" bestFit="1" customWidth="1"/>
    <col min="4" max="4" width="15.33203125" bestFit="1" customWidth="1"/>
    <col min="5" max="5" width="18.6640625" bestFit="1" customWidth="1"/>
    <col min="6" max="6" width="21.6640625" bestFit="1" customWidth="1"/>
  </cols>
  <sheetData>
    <row r="1" spans="1:6" x14ac:dyDescent="0.3">
      <c r="A1" s="1" t="s">
        <v>0</v>
      </c>
      <c r="B1" s="1" t="s">
        <v>100</v>
      </c>
      <c r="C1" s="1" t="s">
        <v>87</v>
      </c>
      <c r="D1" s="1" t="s">
        <v>99</v>
      </c>
      <c r="E1" s="1" t="s">
        <v>86</v>
      </c>
      <c r="F1" s="1" t="s">
        <v>103</v>
      </c>
    </row>
    <row r="2" spans="1:6" x14ac:dyDescent="0.3">
      <c r="A2" s="1">
        <v>1</v>
      </c>
      <c r="B2" s="2">
        <v>43052</v>
      </c>
      <c r="C2" s="1" t="s">
        <v>88</v>
      </c>
      <c r="D2">
        <v>1</v>
      </c>
      <c r="E2" s="1" t="s">
        <v>105</v>
      </c>
      <c r="F2" s="1">
        <f>IFERROR( VLOOKUP(Tabel811[[#This Row],[Ressource_type]],Tabel7[#All],2,0),"")</f>
        <v>0</v>
      </c>
    </row>
    <row r="3" spans="1:6" x14ac:dyDescent="0.3">
      <c r="A3" s="1">
        <v>2</v>
      </c>
      <c r="B3" s="2">
        <v>43052</v>
      </c>
      <c r="C3" s="1" t="s">
        <v>89</v>
      </c>
      <c r="D3">
        <v>2</v>
      </c>
      <c r="E3" s="1" t="s">
        <v>105</v>
      </c>
      <c r="F3" s="1">
        <f>IFERROR( VLOOKUP(Tabel811[[#This Row],[Ressource_type]],Tabel7[#All],2,0),"")</f>
        <v>0</v>
      </c>
    </row>
    <row r="4" spans="1:6" x14ac:dyDescent="0.3">
      <c r="A4" s="1">
        <v>3</v>
      </c>
      <c r="B4" s="2">
        <v>43052</v>
      </c>
      <c r="C4" s="1" t="s">
        <v>90</v>
      </c>
      <c r="D4">
        <v>3</v>
      </c>
      <c r="E4" s="1" t="s">
        <v>105</v>
      </c>
      <c r="F4" s="1">
        <f>IFERROR( VLOOKUP(Tabel811[[#This Row],[Ressource_type]],Tabel7[#All],2,0),"")</f>
        <v>0</v>
      </c>
    </row>
    <row r="5" spans="1:6" x14ac:dyDescent="0.3">
      <c r="A5" s="1">
        <v>4</v>
      </c>
      <c r="B5" s="2">
        <v>43052</v>
      </c>
      <c r="C5" s="1" t="s">
        <v>91</v>
      </c>
      <c r="D5">
        <v>4</v>
      </c>
      <c r="E5" s="1" t="s">
        <v>105</v>
      </c>
      <c r="F5" s="1">
        <f>IFERROR( VLOOKUP(Tabel811[[#This Row],[Ressource_type]],Tabel7[#All],2,0),"")</f>
        <v>0</v>
      </c>
    </row>
    <row r="6" spans="1:6" x14ac:dyDescent="0.3">
      <c r="A6" s="1">
        <v>5</v>
      </c>
      <c r="B6" s="2">
        <v>43052</v>
      </c>
      <c r="C6" s="1" t="s">
        <v>92</v>
      </c>
      <c r="D6">
        <v>5</v>
      </c>
      <c r="E6" s="1" t="s">
        <v>105</v>
      </c>
      <c r="F6" s="1">
        <f>IFERROR( VLOOKUP(Tabel811[[#This Row],[Ressource_type]],Tabel7[#All],2,0),"")</f>
        <v>0</v>
      </c>
    </row>
    <row r="7" spans="1:6" x14ac:dyDescent="0.3">
      <c r="A7" s="1">
        <v>6</v>
      </c>
      <c r="B7" s="2">
        <v>43052</v>
      </c>
      <c r="C7" t="s">
        <v>107</v>
      </c>
      <c r="D7">
        <v>6</v>
      </c>
      <c r="E7" s="1" t="s">
        <v>105</v>
      </c>
      <c r="F7" s="1">
        <f>IFERROR( VLOOKUP(Tabel811[[#This Row],[Ressource_type]],Tabel7[#All],2,0),"")</f>
        <v>0</v>
      </c>
    </row>
    <row r="8" spans="1:6" x14ac:dyDescent="0.3">
      <c r="A8" s="1">
        <v>7</v>
      </c>
      <c r="B8" s="2">
        <v>43052</v>
      </c>
      <c r="C8" s="1" t="s">
        <v>94</v>
      </c>
      <c r="D8">
        <v>7</v>
      </c>
      <c r="E8" s="1" t="s">
        <v>105</v>
      </c>
      <c r="F8" s="1">
        <f>IFERROR( VLOOKUP(Tabel811[[#This Row],[Ressource_type]],Tabel7[#All],2,0),"")</f>
        <v>0</v>
      </c>
    </row>
    <row r="9" spans="1:6" x14ac:dyDescent="0.3">
      <c r="A9" s="1">
        <v>8</v>
      </c>
      <c r="B9" s="2">
        <v>43052</v>
      </c>
      <c r="C9" s="1" t="s">
        <v>95</v>
      </c>
      <c r="D9">
        <v>8</v>
      </c>
      <c r="E9" s="1" t="s">
        <v>105</v>
      </c>
      <c r="F9" s="1">
        <f>IFERROR( VLOOKUP(Tabel811[[#This Row],[Ressource_type]],Tabel7[#All],2,0),"")</f>
        <v>0</v>
      </c>
    </row>
    <row r="10" spans="1:6" x14ac:dyDescent="0.3">
      <c r="A10" s="1">
        <v>9</v>
      </c>
      <c r="B10" s="8">
        <v>43060</v>
      </c>
      <c r="C10" s="1" t="s">
        <v>94</v>
      </c>
      <c r="D10">
        <v>55</v>
      </c>
      <c r="E10" s="1" t="s">
        <v>105</v>
      </c>
      <c r="F10" s="1">
        <f>IFERROR( VLOOKUP(Tabel811[[#This Row],[Ressource_type]],Tabel7[#All],2,0),"")</f>
        <v>0</v>
      </c>
    </row>
    <row r="11" spans="1:6" x14ac:dyDescent="0.3">
      <c r="A11" s="1">
        <v>10</v>
      </c>
      <c r="B11" s="8">
        <v>43060</v>
      </c>
      <c r="C11" s="1" t="s">
        <v>95</v>
      </c>
      <c r="D11">
        <v>56</v>
      </c>
      <c r="E11" s="1" t="s">
        <v>105</v>
      </c>
      <c r="F11" s="1">
        <f>IFERROR( VLOOKUP(Tabel811[[#This Row],[Ressource_type]],Tabel7[#All],2,0),"")</f>
        <v>0</v>
      </c>
    </row>
    <row r="12" spans="1:6" x14ac:dyDescent="0.3">
      <c r="A12" s="1">
        <v>11</v>
      </c>
      <c r="B12" s="2">
        <v>43052</v>
      </c>
      <c r="C12" s="1" t="s">
        <v>88</v>
      </c>
      <c r="D12">
        <v>1</v>
      </c>
      <c r="E12" s="1" t="s">
        <v>105</v>
      </c>
      <c r="F12" s="1">
        <f>IFERROR( VLOOKUP(Tabel811[[#This Row],[Ressource_type]],Tabel7[#All],2,0),"")</f>
        <v>0</v>
      </c>
    </row>
    <row r="13" spans="1:6" x14ac:dyDescent="0.3">
      <c r="A13" s="1">
        <v>12</v>
      </c>
      <c r="B13" s="2">
        <v>43052</v>
      </c>
      <c r="C13" s="1" t="s">
        <v>90</v>
      </c>
      <c r="D13">
        <v>2</v>
      </c>
      <c r="E13" s="1" t="s">
        <v>105</v>
      </c>
      <c r="F13" s="1">
        <f>IFERROR( VLOOKUP(Tabel811[[#This Row],[Ressource_type]],Tabel7[#All],2,0),"")</f>
        <v>0</v>
      </c>
    </row>
    <row r="14" spans="1:6" x14ac:dyDescent="0.3">
      <c r="A14" s="1">
        <v>13</v>
      </c>
      <c r="B14" s="2">
        <v>43052</v>
      </c>
      <c r="C14" s="1" t="s">
        <v>90</v>
      </c>
      <c r="D14">
        <v>3</v>
      </c>
      <c r="E14" s="1" t="s">
        <v>105</v>
      </c>
      <c r="F14" s="1">
        <f>IFERROR( VLOOKUP(Tabel811[[#This Row],[Ressource_type]],Tabel7[#All],2,0),"")</f>
        <v>0</v>
      </c>
    </row>
    <row r="15" spans="1:6" x14ac:dyDescent="0.3">
      <c r="A15" s="1">
        <v>14</v>
      </c>
      <c r="B15" s="8">
        <v>43059</v>
      </c>
      <c r="C15" s="1" t="s">
        <v>92</v>
      </c>
      <c r="D15">
        <v>45</v>
      </c>
      <c r="E15" s="1" t="s">
        <v>105</v>
      </c>
      <c r="F15" s="1">
        <f>IFERROR( VLOOKUP(Tabel811[[#This Row],[Ressource_type]],Tabel7[#All],2,0),"")</f>
        <v>0</v>
      </c>
    </row>
    <row r="16" spans="1:6" x14ac:dyDescent="0.3">
      <c r="A16" s="1">
        <v>15</v>
      </c>
      <c r="B16" s="8">
        <v>43059</v>
      </c>
      <c r="C16" t="s">
        <v>107</v>
      </c>
      <c r="D16">
        <v>46</v>
      </c>
      <c r="E16" s="1" t="s">
        <v>105</v>
      </c>
      <c r="F16" s="1">
        <f>IFERROR( VLOOKUP(Tabel811[[#This Row],[Ressource_type]],Tabel7[#All],2,0),"")</f>
        <v>0</v>
      </c>
    </row>
    <row r="17" spans="1:6" x14ac:dyDescent="0.3">
      <c r="A17" s="1">
        <v>16</v>
      </c>
      <c r="B17" s="8">
        <v>43059</v>
      </c>
      <c r="C17" s="1" t="s">
        <v>94</v>
      </c>
      <c r="D17">
        <v>47</v>
      </c>
      <c r="E17" s="1" t="s">
        <v>105</v>
      </c>
      <c r="F17" s="1">
        <f>IFERROR( VLOOKUP(Tabel811[[#This Row],[Ressource_type]],Tabel7[#All],2,0),"")</f>
        <v>0</v>
      </c>
    </row>
    <row r="18" spans="1:6" x14ac:dyDescent="0.3">
      <c r="A18" s="1">
        <v>17</v>
      </c>
      <c r="B18" s="8">
        <v>43059</v>
      </c>
      <c r="C18" s="1" t="s">
        <v>95</v>
      </c>
      <c r="D18">
        <v>48</v>
      </c>
      <c r="E18" s="1" t="s">
        <v>105</v>
      </c>
      <c r="F18" s="1">
        <f>IFERROR( VLOOKUP(Tabel811[[#This Row],[Ressource_type]],Tabel7[#All],2,0),"")</f>
        <v>0</v>
      </c>
    </row>
    <row r="19" spans="1:6" x14ac:dyDescent="0.3">
      <c r="A19" s="1">
        <v>18</v>
      </c>
      <c r="B19" s="8">
        <v>43060</v>
      </c>
      <c r="C19" s="1" t="s">
        <v>88</v>
      </c>
      <c r="D19">
        <v>49</v>
      </c>
      <c r="E19" s="1" t="s">
        <v>105</v>
      </c>
      <c r="F19" s="1">
        <f>IFERROR( VLOOKUP(Tabel811[[#This Row],[Ressource_type]],Tabel7[#All],2,0),"")</f>
        <v>0</v>
      </c>
    </row>
    <row r="20" spans="1:6" x14ac:dyDescent="0.3">
      <c r="A20" s="1">
        <v>19</v>
      </c>
      <c r="B20" s="8">
        <v>43060</v>
      </c>
      <c r="C20" s="1" t="s">
        <v>90</v>
      </c>
      <c r="D20">
        <v>50</v>
      </c>
      <c r="E20" s="1" t="s">
        <v>105</v>
      </c>
      <c r="F20" s="1">
        <f>IFERROR( VLOOKUP(Tabel811[[#This Row],[Ressource_type]],Tabel7[#All],2,0),"")</f>
        <v>0</v>
      </c>
    </row>
    <row r="21" spans="1:6" x14ac:dyDescent="0.3">
      <c r="A21" s="1">
        <v>20</v>
      </c>
      <c r="B21" s="2">
        <v>43052</v>
      </c>
      <c r="C21" s="1" t="s">
        <v>88</v>
      </c>
      <c r="D21">
        <v>1</v>
      </c>
      <c r="E21" s="1" t="s">
        <v>105</v>
      </c>
      <c r="F21" s="1">
        <f>IFERROR( VLOOKUP(Tabel811[[#This Row],[Ressource_type]],Tabel7[#All],2,0),"")</f>
        <v>0</v>
      </c>
    </row>
    <row r="22" spans="1:6" x14ac:dyDescent="0.3">
      <c r="A22" s="1">
        <v>21</v>
      </c>
      <c r="B22" s="2">
        <v>43052</v>
      </c>
      <c r="C22" s="1" t="s">
        <v>90</v>
      </c>
      <c r="D22">
        <v>2</v>
      </c>
      <c r="E22" s="1" t="s">
        <v>105</v>
      </c>
      <c r="F22" s="1">
        <f>IFERROR( VLOOKUP(Tabel811[[#This Row],[Ressource_type]],Tabel7[#All],2,0),"")</f>
        <v>0</v>
      </c>
    </row>
    <row r="23" spans="1:6" x14ac:dyDescent="0.3">
      <c r="A23" s="1">
        <v>22</v>
      </c>
      <c r="B23" s="2">
        <v>43052</v>
      </c>
      <c r="C23" s="1" t="s">
        <v>88</v>
      </c>
      <c r="D23">
        <v>1</v>
      </c>
      <c r="E23" s="1" t="s">
        <v>109</v>
      </c>
      <c r="F23" s="1">
        <v>3</v>
      </c>
    </row>
    <row r="24" spans="1:6" x14ac:dyDescent="0.3">
      <c r="A24" s="1">
        <v>23</v>
      </c>
      <c r="B24" s="2">
        <v>43052</v>
      </c>
      <c r="C24" s="1" t="s">
        <v>90</v>
      </c>
      <c r="D24">
        <v>2</v>
      </c>
      <c r="E24" s="1" t="s">
        <v>109</v>
      </c>
      <c r="F24" s="1">
        <v>3</v>
      </c>
    </row>
    <row r="25" spans="1:6" x14ac:dyDescent="0.3">
      <c r="A25" s="1">
        <v>24</v>
      </c>
      <c r="B25" s="8">
        <v>43053</v>
      </c>
      <c r="C25" s="1" t="s">
        <v>89</v>
      </c>
      <c r="D25">
        <v>10</v>
      </c>
      <c r="E25" s="1" t="s">
        <v>109</v>
      </c>
      <c r="F25" s="1">
        <v>3</v>
      </c>
    </row>
    <row r="26" spans="1:6" x14ac:dyDescent="0.3">
      <c r="A26" s="1">
        <v>25</v>
      </c>
      <c r="B26" s="8">
        <v>43053</v>
      </c>
      <c r="C26" s="1" t="s">
        <v>94</v>
      </c>
      <c r="D26">
        <v>15</v>
      </c>
      <c r="E26" s="1" t="s">
        <v>109</v>
      </c>
      <c r="F26" s="1">
        <v>3</v>
      </c>
    </row>
    <row r="27" spans="1:6" x14ac:dyDescent="0.3">
      <c r="A27" s="1">
        <v>26</v>
      </c>
      <c r="B27" s="8">
        <v>43054</v>
      </c>
      <c r="C27" s="1" t="s">
        <v>91</v>
      </c>
      <c r="D27">
        <v>20</v>
      </c>
      <c r="E27" s="1" t="s">
        <v>109</v>
      </c>
      <c r="F27" s="1">
        <v>3</v>
      </c>
    </row>
    <row r="28" spans="1:6" x14ac:dyDescent="0.3">
      <c r="A28" s="1">
        <v>27</v>
      </c>
      <c r="B28" s="8">
        <v>43055</v>
      </c>
      <c r="C28" s="1" t="s">
        <v>88</v>
      </c>
      <c r="D28">
        <v>25</v>
      </c>
      <c r="E28" s="1" t="s">
        <v>109</v>
      </c>
      <c r="F28" s="1">
        <v>3</v>
      </c>
    </row>
    <row r="29" spans="1:6" x14ac:dyDescent="0.3">
      <c r="A29" s="1">
        <v>28</v>
      </c>
      <c r="B29" s="8">
        <v>43055</v>
      </c>
      <c r="C29" s="1" t="s">
        <v>89</v>
      </c>
      <c r="D29">
        <v>26</v>
      </c>
      <c r="E29" s="1" t="s">
        <v>109</v>
      </c>
      <c r="F29" s="1">
        <v>3</v>
      </c>
    </row>
    <row r="30" spans="1:6" x14ac:dyDescent="0.3">
      <c r="A30" s="1">
        <v>29</v>
      </c>
      <c r="B30" s="8">
        <v>43055</v>
      </c>
      <c r="C30" s="1" t="s">
        <v>90</v>
      </c>
      <c r="D30">
        <v>27</v>
      </c>
      <c r="E30" s="1" t="s">
        <v>109</v>
      </c>
      <c r="F30" s="1">
        <v>3</v>
      </c>
    </row>
    <row r="31" spans="1:6" x14ac:dyDescent="0.3">
      <c r="A31" s="1">
        <v>30</v>
      </c>
      <c r="B31" s="8">
        <v>43055</v>
      </c>
      <c r="C31" s="1" t="s">
        <v>91</v>
      </c>
      <c r="D31">
        <v>28</v>
      </c>
      <c r="E31" s="1" t="s">
        <v>109</v>
      </c>
      <c r="F31" s="1">
        <v>3</v>
      </c>
    </row>
    <row r="32" spans="1:6" x14ac:dyDescent="0.3">
      <c r="A32" s="1">
        <v>31</v>
      </c>
      <c r="B32" s="8">
        <v>43055</v>
      </c>
      <c r="C32" s="1" t="s">
        <v>92</v>
      </c>
      <c r="D32">
        <v>29</v>
      </c>
      <c r="E32" s="1" t="s">
        <v>109</v>
      </c>
      <c r="F32" s="1">
        <v>3</v>
      </c>
    </row>
    <row r="33" spans="1:6" x14ac:dyDescent="0.3">
      <c r="A33" s="1">
        <v>32</v>
      </c>
      <c r="B33" s="8">
        <v>43055</v>
      </c>
      <c r="C33" t="s">
        <v>107</v>
      </c>
      <c r="D33">
        <v>30</v>
      </c>
      <c r="E33" s="1" t="s">
        <v>109</v>
      </c>
      <c r="F33" s="1">
        <v>3</v>
      </c>
    </row>
    <row r="34" spans="1:6" x14ac:dyDescent="0.3">
      <c r="A34" s="1">
        <v>33</v>
      </c>
      <c r="B34" s="8">
        <v>43055</v>
      </c>
      <c r="C34" s="1" t="s">
        <v>94</v>
      </c>
      <c r="D34">
        <v>31</v>
      </c>
      <c r="E34" s="1" t="s">
        <v>109</v>
      </c>
      <c r="F34" s="1">
        <v>3</v>
      </c>
    </row>
    <row r="35" spans="1:6" x14ac:dyDescent="0.3">
      <c r="A35" s="1">
        <v>34</v>
      </c>
      <c r="B35" s="8">
        <v>43055</v>
      </c>
      <c r="C35" s="1" t="s">
        <v>95</v>
      </c>
      <c r="D35">
        <v>32</v>
      </c>
      <c r="E35" s="1" t="s">
        <v>109</v>
      </c>
      <c r="F35" s="1">
        <v>3</v>
      </c>
    </row>
    <row r="36" spans="1:6" x14ac:dyDescent="0.3">
      <c r="A36" s="1">
        <v>35</v>
      </c>
      <c r="B36" s="8">
        <v>43056</v>
      </c>
      <c r="C36" s="1" t="s">
        <v>90</v>
      </c>
      <c r="D36">
        <v>35</v>
      </c>
      <c r="E36" s="1" t="s">
        <v>109</v>
      </c>
      <c r="F36" s="1">
        <v>3</v>
      </c>
    </row>
    <row r="37" spans="1:6" x14ac:dyDescent="0.3">
      <c r="A37" s="1">
        <v>36</v>
      </c>
      <c r="B37" s="8">
        <v>43056</v>
      </c>
      <c r="C37" s="1" t="s">
        <v>92</v>
      </c>
      <c r="D37">
        <v>37</v>
      </c>
      <c r="E37" s="1" t="s">
        <v>109</v>
      </c>
      <c r="F37" s="1">
        <v>3</v>
      </c>
    </row>
    <row r="38" spans="1:6" x14ac:dyDescent="0.3">
      <c r="A38" s="1">
        <v>37</v>
      </c>
      <c r="B38" s="8">
        <v>43056</v>
      </c>
      <c r="C38" s="1" t="s">
        <v>94</v>
      </c>
      <c r="D38">
        <v>39</v>
      </c>
      <c r="E38" s="1" t="s">
        <v>109</v>
      </c>
      <c r="F38" s="1">
        <v>3</v>
      </c>
    </row>
    <row r="39" spans="1:6" x14ac:dyDescent="0.3">
      <c r="A39" s="1"/>
      <c r="B39" s="2"/>
      <c r="C39" s="1"/>
      <c r="D39" s="1"/>
      <c r="E39" s="1"/>
      <c r="F39" s="1" t="str">
        <f>IFERROR( VLOOKUP(Tabel811[[#This Row],[Ressource_type]],Tabel7[#All],2,0),"")</f>
        <v/>
      </c>
    </row>
    <row r="40" spans="1:6" x14ac:dyDescent="0.3">
      <c r="A40" s="1"/>
      <c r="B40" s="2"/>
      <c r="C40" s="1"/>
      <c r="D40" s="1"/>
      <c r="E40" s="1"/>
      <c r="F40" s="1" t="str">
        <f>IFERROR( VLOOKUP(Tabel811[[#This Row],[Ressource_type]],Tabel7[#All],2,0),"")</f>
        <v/>
      </c>
    </row>
    <row r="41" spans="1:6" x14ac:dyDescent="0.3">
      <c r="A41" s="1"/>
      <c r="B41" s="2"/>
      <c r="C41" s="1"/>
      <c r="D41" s="1"/>
      <c r="E41" s="1"/>
      <c r="F41" s="1" t="str">
        <f>IFERROR( VLOOKUP(Tabel811[[#This Row],[Ressource_type]],Tabel7[#All],2,0),"")</f>
        <v/>
      </c>
    </row>
    <row r="42" spans="1:6" x14ac:dyDescent="0.3">
      <c r="A42" s="1"/>
      <c r="B42" s="2"/>
      <c r="C42" s="1"/>
      <c r="D42" s="1"/>
      <c r="E42" s="1"/>
      <c r="F42" s="1" t="str">
        <f>IFERROR( VLOOKUP(Tabel811[[#This Row],[Ressource_type]],Tabel7[#All],2,0),"")</f>
        <v/>
      </c>
    </row>
    <row r="43" spans="1:6" x14ac:dyDescent="0.3">
      <c r="A43" s="1"/>
      <c r="B43" s="2"/>
      <c r="C43" s="1"/>
      <c r="D43" s="1"/>
      <c r="E43" s="1"/>
      <c r="F43" s="1" t="str">
        <f>IFERROR( VLOOKUP(Tabel811[[#This Row],[Ressource_type]],Tabel7[#All],2,0),"")</f>
        <v/>
      </c>
    </row>
    <row r="44" spans="1:6" x14ac:dyDescent="0.3">
      <c r="A44" s="1"/>
      <c r="B44" s="2"/>
      <c r="C44" s="1"/>
      <c r="D44" s="1"/>
      <c r="E44" s="1"/>
      <c r="F44" s="1" t="str">
        <f>IFERROR( VLOOKUP(Tabel811[[#This Row],[Ressource_type]],Tabel7[#All],2,0),"")</f>
        <v/>
      </c>
    </row>
    <row r="45" spans="1:6" x14ac:dyDescent="0.3">
      <c r="A45" s="1"/>
      <c r="B45" s="2"/>
      <c r="C45" s="1"/>
      <c r="D45" s="1"/>
      <c r="E45" s="1"/>
      <c r="F45" s="1" t="str">
        <f>IFERROR( VLOOKUP(Tabel811[[#This Row],[Ressource_type]],Tabel7[#All],2,0),"")</f>
        <v/>
      </c>
    </row>
    <row r="46" spans="1:6" x14ac:dyDescent="0.3">
      <c r="A46" s="1"/>
      <c r="B46" s="2"/>
      <c r="C46" s="1"/>
      <c r="D46" s="1"/>
      <c r="E46" s="1"/>
      <c r="F46" s="1" t="str">
        <f>IFERROR( VLOOKUP(Tabel811[[#This Row],[Ressource_type]],Tabel7[#All],2,0),"")</f>
        <v/>
      </c>
    </row>
    <row r="47" spans="1:6" x14ac:dyDescent="0.3">
      <c r="A47" s="1"/>
      <c r="B47" s="2"/>
      <c r="C47" s="1"/>
      <c r="D47" s="1"/>
      <c r="E47" s="1"/>
      <c r="F47" s="1" t="str">
        <f>IFERROR( VLOOKUP(Tabel811[[#This Row],[Ressource_type]],Tabel7[#All],2,0),"")</f>
        <v/>
      </c>
    </row>
    <row r="48" spans="1:6" x14ac:dyDescent="0.3">
      <c r="A48" s="1"/>
      <c r="B48" s="2"/>
      <c r="C48" s="1"/>
      <c r="D48" s="1"/>
      <c r="E48" s="1"/>
      <c r="F48" s="1" t="str">
        <f>IFERROR( VLOOKUP(Tabel811[[#This Row],[Ressource_type]],Tabel7[#All],2,0),"")</f>
        <v/>
      </c>
    </row>
    <row r="49" spans="1:6" x14ac:dyDescent="0.3">
      <c r="A49" s="1"/>
      <c r="B49" s="2"/>
      <c r="C49" s="1"/>
      <c r="D49" s="1"/>
      <c r="E49" s="1"/>
      <c r="F49" s="1" t="str">
        <f>IFERROR( VLOOKUP(Tabel811[[#This Row],[Ressource_type]],Tabel7[#All],2,0),"")</f>
        <v/>
      </c>
    </row>
    <row r="50" spans="1:6" x14ac:dyDescent="0.3">
      <c r="A50" s="1"/>
      <c r="B50" s="2"/>
      <c r="C50" s="1"/>
      <c r="D50" s="1"/>
      <c r="E50" s="1"/>
      <c r="F50" s="1" t="str">
        <f>IFERROR( VLOOKUP(Tabel811[[#This Row],[Ressource_type]],Tabel7[#All],2,0),"")</f>
        <v/>
      </c>
    </row>
    <row r="51" spans="1:6" x14ac:dyDescent="0.3">
      <c r="A51" s="1"/>
      <c r="B51" s="2"/>
      <c r="C51" s="1"/>
      <c r="D51" s="1"/>
      <c r="E51" s="1"/>
      <c r="F51" s="1" t="str">
        <f>IFERROR( VLOOKUP(Tabel811[[#This Row],[Ressource_type]],Tabel7[#All],2,0),"")</f>
        <v/>
      </c>
    </row>
    <row r="52" spans="1:6" x14ac:dyDescent="0.3">
      <c r="A52" s="1"/>
      <c r="B52" s="2"/>
      <c r="C52" s="1"/>
      <c r="D52" s="1"/>
      <c r="E52" s="1"/>
      <c r="F52" s="1" t="str">
        <f>IFERROR( VLOOKUP(Tabel811[[#This Row],[Ressource_type]],Tabel7[#All],2,0),"")</f>
        <v/>
      </c>
    </row>
    <row r="53" spans="1:6" x14ac:dyDescent="0.3">
      <c r="A53" s="1"/>
      <c r="B53" s="2"/>
      <c r="C53" s="1"/>
      <c r="D53" s="1"/>
      <c r="E53" s="1"/>
      <c r="F53" s="1" t="str">
        <f>IFERROR( VLOOKUP(Tabel811[[#This Row],[Ressource_type]],Tabel7[#All],2,0),"")</f>
        <v/>
      </c>
    </row>
    <row r="54" spans="1:6" x14ac:dyDescent="0.3">
      <c r="A54" s="1"/>
      <c r="B54" s="2"/>
      <c r="C54" s="1"/>
      <c r="D54" s="1"/>
      <c r="E54" s="1"/>
      <c r="F54" s="1" t="str">
        <f>IFERROR( VLOOKUP(Tabel811[[#This Row],[Ressource_type]],Tabel7[#All],2,0),"")</f>
        <v/>
      </c>
    </row>
    <row r="55" spans="1:6" x14ac:dyDescent="0.3">
      <c r="A55" s="1"/>
      <c r="B55" s="2"/>
      <c r="C55" s="1"/>
      <c r="D55" s="1"/>
      <c r="E55" s="1"/>
      <c r="F55" s="1" t="str">
        <f>IFERROR( VLOOKUP(Tabel811[[#This Row],[Ressource_type]],Tabel7[#All],2,0),"")</f>
        <v/>
      </c>
    </row>
    <row r="56" spans="1:6" x14ac:dyDescent="0.3">
      <c r="A56" s="1"/>
      <c r="B56" s="2"/>
      <c r="C56" s="1"/>
      <c r="D56" s="1"/>
      <c r="E56" s="1"/>
      <c r="F56" s="1" t="str">
        <f>IFERROR( VLOOKUP(Tabel811[[#This Row],[Ressource_type]],Tabel7[#All],2,0),"")</f>
        <v/>
      </c>
    </row>
    <row r="57" spans="1:6" x14ac:dyDescent="0.3">
      <c r="A57" s="1"/>
      <c r="B57" s="2"/>
      <c r="C57" s="1"/>
      <c r="D57" s="1"/>
      <c r="E57" s="1"/>
      <c r="F57" s="1" t="str">
        <f>IFERROR( VLOOKUP(Tabel811[[#This Row],[Ressource_type]],Tabel7[#All],2,0),"")</f>
        <v/>
      </c>
    </row>
    <row r="58" spans="1:6" x14ac:dyDescent="0.3">
      <c r="A58" s="1"/>
      <c r="B58" s="2"/>
      <c r="C58" s="1"/>
      <c r="D58" s="1"/>
      <c r="E58" s="1"/>
      <c r="F58" s="1" t="str">
        <f>IFERROR( VLOOKUP(Tabel811[[#This Row],[Ressource_type]],Tabel7[#All],2,0),"")</f>
        <v/>
      </c>
    </row>
    <row r="59" spans="1:6" x14ac:dyDescent="0.3">
      <c r="A59" s="1"/>
      <c r="B59" s="2"/>
      <c r="C59" s="1"/>
      <c r="D59" s="1"/>
      <c r="E59" s="1"/>
      <c r="F59" s="1" t="str">
        <f>IFERROR( VLOOKUP(Tabel811[[#This Row],[Ressource_type]],Tabel7[#All],2,0),"")</f>
        <v/>
      </c>
    </row>
    <row r="60" spans="1:6" x14ac:dyDescent="0.3">
      <c r="A60" s="1"/>
      <c r="B60" s="2"/>
      <c r="C60" s="1"/>
      <c r="D60" s="1"/>
      <c r="E60" s="1"/>
      <c r="F60" s="1" t="str">
        <f>IFERROR( VLOOKUP(Tabel811[[#This Row],[Ressource_type]],Tabel7[#All],2,0),"")</f>
        <v/>
      </c>
    </row>
    <row r="61" spans="1:6" x14ac:dyDescent="0.3">
      <c r="A61" s="1"/>
      <c r="B61" s="2"/>
      <c r="C61" s="1"/>
      <c r="D61" s="1"/>
      <c r="E61" s="1"/>
      <c r="F61" s="1" t="str">
        <f>IFERROR( VLOOKUP(Tabel811[[#This Row],[Ressource_type]],Tabel7[#All],2,0),"")</f>
        <v/>
      </c>
    </row>
    <row r="62" spans="1:6" x14ac:dyDescent="0.3">
      <c r="A62" s="1"/>
      <c r="B62" s="2"/>
      <c r="C62" s="1"/>
      <c r="D62" s="1"/>
      <c r="E62" s="1"/>
      <c r="F62" s="1" t="str">
        <f>IFERROR( VLOOKUP(Tabel811[[#This Row],[Ressource_type]],Tabel7[#All],2,0),"")</f>
        <v/>
      </c>
    </row>
    <row r="63" spans="1:6" x14ac:dyDescent="0.3">
      <c r="A63" s="1"/>
      <c r="B63" s="2"/>
      <c r="C63" s="1"/>
      <c r="D63" s="1"/>
      <c r="E63" s="1"/>
      <c r="F63" s="1" t="str">
        <f>IFERROR( VLOOKUP(Tabel811[[#This Row],[Ressource_type]],Tabel7[#All],2,0),"")</f>
        <v/>
      </c>
    </row>
    <row r="64" spans="1:6" x14ac:dyDescent="0.3">
      <c r="A64" s="1"/>
      <c r="B64" s="2"/>
      <c r="C64" s="1"/>
      <c r="D64" s="1"/>
      <c r="E64" s="1"/>
      <c r="F64" s="1" t="str">
        <f>IFERROR( VLOOKUP(Tabel811[[#This Row],[Ressource_type]],Tabel7[#All],2,0),"")</f>
        <v/>
      </c>
    </row>
    <row r="65" spans="1:6" x14ac:dyDescent="0.3">
      <c r="A65" s="1"/>
      <c r="B65" s="2"/>
      <c r="C65" s="1"/>
      <c r="D65" s="1"/>
      <c r="E65" s="1"/>
      <c r="F65" s="1" t="str">
        <f>IFERROR( VLOOKUP(Tabel811[[#This Row],[Ressource_type]],Tabel7[#All],2,0),"")</f>
        <v/>
      </c>
    </row>
    <row r="66" spans="1:6" x14ac:dyDescent="0.3">
      <c r="A66" s="1"/>
      <c r="B66" s="2"/>
      <c r="C66" s="1"/>
      <c r="D66" s="1"/>
      <c r="E66" s="1"/>
      <c r="F66" s="1" t="str">
        <f>IFERROR( VLOOKUP(Tabel811[[#This Row],[Ressource_type]],Tabel7[#All],2,0),"")</f>
        <v/>
      </c>
    </row>
    <row r="67" spans="1:6" x14ac:dyDescent="0.3">
      <c r="A67" s="1"/>
      <c r="B67" s="2"/>
      <c r="C67" s="1"/>
      <c r="D67" s="1"/>
      <c r="E67" s="1"/>
      <c r="F67" s="1" t="str">
        <f>IFERROR( VLOOKUP(Tabel811[[#This Row],[Ressource_type]],Tabel7[#All],2,0),"")</f>
        <v/>
      </c>
    </row>
    <row r="68" spans="1:6" x14ac:dyDescent="0.3">
      <c r="A68" s="1"/>
      <c r="B68" s="2"/>
      <c r="C68" s="1"/>
      <c r="D68" s="1"/>
      <c r="E68" s="1"/>
      <c r="F68" s="1" t="str">
        <f>IFERROR( VLOOKUP(Tabel811[[#This Row],[Ressource_type]],Tabel7[#All],2,0),"")</f>
        <v/>
      </c>
    </row>
    <row r="69" spans="1:6" x14ac:dyDescent="0.3">
      <c r="A69" s="1"/>
      <c r="B69" s="2"/>
      <c r="C69" s="1"/>
      <c r="D69" s="1"/>
      <c r="E69" s="1"/>
      <c r="F69" s="1" t="str">
        <f>IFERROR( VLOOKUP(Tabel811[[#This Row],[Ressource_type]],Tabel7[#All],2,0),"")</f>
        <v/>
      </c>
    </row>
    <row r="70" spans="1:6" x14ac:dyDescent="0.3">
      <c r="A70" s="1"/>
      <c r="B70" s="2"/>
      <c r="C70" s="1"/>
      <c r="D70" s="1"/>
      <c r="E70" s="1"/>
      <c r="F70" s="1" t="str">
        <f>IFERROR( VLOOKUP(Tabel811[[#This Row],[Ressource_type]],Tabel7[#All],2,0),"")</f>
        <v/>
      </c>
    </row>
    <row r="71" spans="1:6" x14ac:dyDescent="0.3">
      <c r="A71" s="1"/>
      <c r="B71" s="2"/>
      <c r="C71" s="1"/>
      <c r="D71" s="1"/>
      <c r="E71" s="1"/>
      <c r="F71" s="1" t="str">
        <f>IFERROR( VLOOKUP(Tabel811[[#This Row],[Ressource_type]],Tabel7[#All],2,0),"")</f>
        <v/>
      </c>
    </row>
    <row r="72" spans="1:6" x14ac:dyDescent="0.3">
      <c r="A72" s="1"/>
      <c r="B72" s="2"/>
      <c r="C72" s="1"/>
      <c r="D72" s="1"/>
      <c r="E72" s="1"/>
      <c r="F72" s="1" t="str">
        <f>IFERROR( VLOOKUP(Tabel811[[#This Row],[Ressource_type]],Tabel7[#All],2,0),"")</f>
        <v/>
      </c>
    </row>
    <row r="73" spans="1:6" x14ac:dyDescent="0.3">
      <c r="A73" s="1"/>
      <c r="B73" s="2"/>
      <c r="C73" s="1"/>
      <c r="D73" s="1"/>
      <c r="E73" s="1"/>
      <c r="F73" s="1" t="str">
        <f>IFERROR( VLOOKUP(Tabel811[[#This Row],[Ressource_type]],Tabel7[#All],2,0),"")</f>
        <v/>
      </c>
    </row>
    <row r="74" spans="1:6" x14ac:dyDescent="0.3">
      <c r="A74" s="1"/>
      <c r="B74" s="2"/>
      <c r="C74" s="1"/>
      <c r="D74" s="1"/>
      <c r="E74" s="1"/>
      <c r="F74" s="1" t="str">
        <f>IFERROR( VLOOKUP(Tabel811[[#This Row],[Ressource_type]],Tabel7[#All],2,0),"")</f>
        <v/>
      </c>
    </row>
    <row r="75" spans="1:6" x14ac:dyDescent="0.3">
      <c r="A75" s="1"/>
      <c r="B75" s="2"/>
      <c r="C75" s="1"/>
      <c r="D75" s="1"/>
      <c r="E75" s="1"/>
      <c r="F75" s="1" t="str">
        <f>IFERROR( VLOOKUP(Tabel811[[#This Row],[Ressource_type]],Tabel7[#All],2,0),"")</f>
        <v/>
      </c>
    </row>
    <row r="76" spans="1:6" x14ac:dyDescent="0.3">
      <c r="A76" s="1"/>
      <c r="B76" s="2"/>
      <c r="C76" s="1"/>
      <c r="D76" s="1"/>
      <c r="E76" s="1"/>
      <c r="F76" s="1" t="str">
        <f>IFERROR( VLOOKUP(Tabel811[[#This Row],[Ressource_type]],Tabel7[#All],2,0),"")</f>
        <v/>
      </c>
    </row>
    <row r="77" spans="1:6" x14ac:dyDescent="0.3">
      <c r="A77" s="1"/>
      <c r="B77" s="2"/>
      <c r="C77" s="1"/>
      <c r="D77" s="1"/>
      <c r="E77" s="1"/>
      <c r="F77" s="1" t="str">
        <f>IFERROR( VLOOKUP(Tabel811[[#This Row],[Ressource_type]],Tabel7[#All],2,0),"")</f>
        <v/>
      </c>
    </row>
    <row r="78" spans="1:6" x14ac:dyDescent="0.3">
      <c r="A78" s="1"/>
      <c r="B78" s="2"/>
      <c r="C78" s="1"/>
      <c r="D78" s="1"/>
      <c r="E78" s="1"/>
      <c r="F78" s="1" t="str">
        <f>IFERROR( VLOOKUP(Tabel811[[#This Row],[Ressource_type]],Tabel7[#All],2,0),"")</f>
        <v/>
      </c>
    </row>
    <row r="79" spans="1:6" x14ac:dyDescent="0.3">
      <c r="A79" s="1"/>
      <c r="B79" s="2"/>
      <c r="C79" s="1"/>
      <c r="D79" s="1"/>
      <c r="E79" s="1"/>
      <c r="F79" s="1" t="str">
        <f>IFERROR( VLOOKUP(Tabel811[[#This Row],[Ressource_type]],Tabel7[#All],2,0),"")</f>
        <v/>
      </c>
    </row>
    <row r="80" spans="1:6" x14ac:dyDescent="0.3">
      <c r="A80" s="1"/>
      <c r="B80" s="2"/>
      <c r="C80" s="1"/>
      <c r="D80" s="1"/>
      <c r="E80" s="1"/>
      <c r="F80" s="1" t="str">
        <f>IFERROR( VLOOKUP(Tabel811[[#This Row],[Ressource_type]],Tabel7[#All],2,0),"")</f>
        <v/>
      </c>
    </row>
    <row r="81" spans="1:6" x14ac:dyDescent="0.3">
      <c r="A81" s="1"/>
      <c r="B81" s="2"/>
      <c r="C81" s="1"/>
      <c r="D81" s="1"/>
      <c r="E81" s="1"/>
      <c r="F81" s="1" t="str">
        <f>IFERROR( VLOOKUP(Tabel811[[#This Row],[Ressource_type]],Tabel7[#All],2,0),"")</f>
        <v/>
      </c>
    </row>
    <row r="82" spans="1:6" x14ac:dyDescent="0.3">
      <c r="A82" s="1"/>
      <c r="B82" s="2"/>
      <c r="C82" s="1"/>
      <c r="D82" s="1"/>
      <c r="E82" s="1"/>
      <c r="F82" s="1" t="str">
        <f>IFERROR( VLOOKUP(Tabel811[[#This Row],[Ressource_type]],Tabel7[#All],2,0),"")</f>
        <v/>
      </c>
    </row>
    <row r="83" spans="1:6" x14ac:dyDescent="0.3">
      <c r="A83" s="1"/>
      <c r="B83" s="2"/>
      <c r="C83" s="1"/>
      <c r="D83" s="1"/>
      <c r="E83" s="1"/>
      <c r="F83" s="1" t="str">
        <f>IFERROR( VLOOKUP(Tabel811[[#This Row],[Ressource_type]],Tabel7[#All],2,0),"")</f>
        <v/>
      </c>
    </row>
    <row r="84" spans="1:6" x14ac:dyDescent="0.3">
      <c r="A84" s="1"/>
      <c r="B84" s="2"/>
      <c r="C84" s="1"/>
      <c r="D84" s="1"/>
      <c r="E84" s="1"/>
      <c r="F84" s="1" t="str">
        <f>IFERROR( VLOOKUP(Tabel811[[#This Row],[Ressource_type]],Tabel7[#All],2,0),"")</f>
        <v/>
      </c>
    </row>
    <row r="85" spans="1:6" x14ac:dyDescent="0.3">
      <c r="A85" s="1"/>
      <c r="B85" s="2"/>
      <c r="C85" s="1"/>
      <c r="D85" s="1"/>
      <c r="E85" s="1"/>
      <c r="F85" s="1" t="str">
        <f>IFERROR( VLOOKUP(Tabel811[[#This Row],[Ressource_type]],Tabel7[#All],2,0),"")</f>
        <v/>
      </c>
    </row>
    <row r="86" spans="1:6" x14ac:dyDescent="0.3">
      <c r="A86" s="1"/>
      <c r="B86" s="2"/>
      <c r="C86" s="1"/>
      <c r="D86" s="1"/>
      <c r="E86" s="1"/>
      <c r="F86" s="1" t="str">
        <f>IFERROR( VLOOKUP(Tabel811[[#This Row],[Ressource_type]],Tabel7[#All],2,0),"")</f>
        <v/>
      </c>
    </row>
    <row r="87" spans="1:6" x14ac:dyDescent="0.3">
      <c r="A87" s="1"/>
      <c r="B87" s="2"/>
      <c r="C87" s="1"/>
      <c r="D87" s="1"/>
      <c r="E87" s="1"/>
      <c r="F87" s="1" t="str">
        <f>IFERROR( VLOOKUP(Tabel811[[#This Row],[Ressource_type]],Tabel7[#All],2,0),"")</f>
        <v/>
      </c>
    </row>
    <row r="88" spans="1:6" x14ac:dyDescent="0.3">
      <c r="A88" s="1"/>
      <c r="B88" s="2"/>
      <c r="C88" s="1"/>
      <c r="D88" s="1"/>
      <c r="E88" s="1"/>
      <c r="F88" s="1" t="str">
        <f>IFERROR( VLOOKUP(Tabel811[[#This Row],[Ressource_type]],Tabel7[#All],2,0),"")</f>
        <v/>
      </c>
    </row>
    <row r="89" spans="1:6" x14ac:dyDescent="0.3">
      <c r="A89" s="1"/>
      <c r="B89" s="2"/>
      <c r="C89" s="1"/>
      <c r="D89" s="1"/>
      <c r="E89" s="1"/>
      <c r="F89" s="1" t="str">
        <f>IFERROR( VLOOKUP(Tabel811[[#This Row],[Ressource_type]],Tabel7[#All],2,0),"")</f>
        <v/>
      </c>
    </row>
    <row r="90" spans="1:6" x14ac:dyDescent="0.3">
      <c r="A90" s="1"/>
      <c r="B90" s="2"/>
      <c r="C90" s="1"/>
      <c r="D90" s="1"/>
      <c r="E90" s="1"/>
      <c r="F90" s="1" t="str">
        <f>IFERROR( VLOOKUP(Tabel811[[#This Row],[Ressource_type]],Tabel7[#All],2,0),"")</f>
        <v/>
      </c>
    </row>
    <row r="91" spans="1:6" x14ac:dyDescent="0.3">
      <c r="A91" s="1"/>
      <c r="B91" s="2"/>
      <c r="C91" s="1"/>
      <c r="D91" s="1"/>
      <c r="E91" s="1"/>
      <c r="F91" s="1" t="str">
        <f>IFERROR( VLOOKUP(Tabel811[[#This Row],[Ressource_type]],Tabel7[#All],2,0),"")</f>
        <v/>
      </c>
    </row>
    <row r="92" spans="1:6" x14ac:dyDescent="0.3">
      <c r="A92" s="1"/>
      <c r="B92" s="2"/>
      <c r="C92" s="1"/>
      <c r="D92" s="1"/>
      <c r="E92" s="1"/>
      <c r="F92" s="1" t="str">
        <f>IFERROR( VLOOKUP(Tabel811[[#This Row],[Ressource_type]],Tabel7[#All],2,0),"")</f>
        <v/>
      </c>
    </row>
    <row r="93" spans="1:6" x14ac:dyDescent="0.3">
      <c r="A93" s="1"/>
      <c r="B93" s="2"/>
      <c r="C93" s="1"/>
      <c r="D93" s="1"/>
      <c r="E93" s="1"/>
      <c r="F93" s="1" t="str">
        <f>IFERROR( VLOOKUP(Tabel811[[#This Row],[Ressource_type]],Tabel7[#All],2,0),"")</f>
        <v/>
      </c>
    </row>
    <row r="94" spans="1:6" x14ac:dyDescent="0.3">
      <c r="A94" s="1"/>
      <c r="B94" s="2"/>
      <c r="C94" s="1"/>
      <c r="D94" s="1"/>
      <c r="E94" s="1"/>
      <c r="F94" s="1" t="str">
        <f>IFERROR( VLOOKUP(Tabel811[[#This Row],[Ressource_type]],Tabel7[#All],2,0),"")</f>
        <v/>
      </c>
    </row>
    <row r="95" spans="1:6" x14ac:dyDescent="0.3">
      <c r="A95" s="1"/>
      <c r="B95" s="2"/>
      <c r="C95" s="1"/>
      <c r="D95" s="1"/>
      <c r="E95" s="1"/>
      <c r="F95" s="1" t="str">
        <f>IFERROR( VLOOKUP(Tabel811[[#This Row],[Ressource_type]],Tabel7[#All],2,0),"")</f>
        <v/>
      </c>
    </row>
    <row r="96" spans="1:6" x14ac:dyDescent="0.3">
      <c r="A96" s="1"/>
      <c r="B96" s="2"/>
      <c r="C96" s="1"/>
      <c r="D96" s="1"/>
      <c r="E96" s="1"/>
      <c r="F96" s="1" t="str">
        <f>IFERROR( VLOOKUP(Tabel811[[#This Row],[Ressource_type]],Tabel7[#All],2,0),"")</f>
        <v/>
      </c>
    </row>
    <row r="97" spans="1:6" x14ac:dyDescent="0.3">
      <c r="A97" s="1"/>
      <c r="B97" s="2"/>
      <c r="C97" s="1"/>
      <c r="D97" s="1"/>
      <c r="E97" s="1"/>
      <c r="F97" s="1" t="str">
        <f>IFERROR( VLOOKUP(Tabel811[[#This Row],[Ressource_type]],Tabel7[#All],2,0),"")</f>
        <v/>
      </c>
    </row>
    <row r="98" spans="1:6" x14ac:dyDescent="0.3">
      <c r="A98" s="1"/>
      <c r="B98" s="2"/>
      <c r="C98" s="1"/>
      <c r="D98" s="1"/>
      <c r="E98" s="1"/>
      <c r="F98" s="1" t="str">
        <f>IFERROR( VLOOKUP(Tabel811[[#This Row],[Ressource_type]],Tabel7[#All],2,0),"")</f>
        <v/>
      </c>
    </row>
    <row r="99" spans="1:6" x14ac:dyDescent="0.3">
      <c r="A99" s="1"/>
      <c r="B99" s="2"/>
      <c r="C99" s="1"/>
      <c r="D99" s="1"/>
      <c r="E99" s="1"/>
      <c r="F99" s="1" t="str">
        <f>IFERROR( VLOOKUP(Tabel811[[#This Row],[Ressource_type]],Tabel7[#All],2,0),"")</f>
        <v/>
      </c>
    </row>
    <row r="100" spans="1:6" x14ac:dyDescent="0.3">
      <c r="A100" s="1"/>
      <c r="B100" s="2"/>
      <c r="C100" s="1"/>
      <c r="D100" s="1"/>
      <c r="E100" s="1"/>
      <c r="F100" s="1" t="str">
        <f>IFERROR( VLOOKUP(Tabel811[[#This Row],[Ressource_type]],Tabel7[#All],2,0),"")</f>
        <v/>
      </c>
    </row>
    <row r="101" spans="1:6" x14ac:dyDescent="0.3">
      <c r="A101" s="1"/>
      <c r="B101" s="2"/>
      <c r="C101" s="1"/>
      <c r="D101" s="1"/>
      <c r="E101" s="1"/>
      <c r="F101" s="1" t="str">
        <f>IFERROR( VLOOKUP(Tabel811[[#This Row],[Ressource_type]],Tabel7[#All],2,0),"")</f>
        <v/>
      </c>
    </row>
    <row r="102" spans="1:6" x14ac:dyDescent="0.3">
      <c r="A102" s="1"/>
      <c r="B102" s="2"/>
      <c r="C102" s="1"/>
      <c r="D102" s="1"/>
      <c r="E102" s="1"/>
      <c r="F102" s="1" t="str">
        <f>IFERROR( VLOOKUP(Tabel811[[#This Row],[Ressource_type]],Tabel7[#All],2,0),"")</f>
        <v/>
      </c>
    </row>
    <row r="103" spans="1:6" x14ac:dyDescent="0.3">
      <c r="A103" s="1"/>
      <c r="B103" s="2"/>
      <c r="C103" s="1"/>
      <c r="D103" s="1"/>
      <c r="E103" s="1"/>
      <c r="F103" s="1" t="str">
        <f>IFERROR( VLOOKUP(Tabel811[[#This Row],[Ressource_type]],Tabel7[#All],2,0),"")</f>
        <v/>
      </c>
    </row>
    <row r="104" spans="1:6" x14ac:dyDescent="0.3">
      <c r="A104" s="1"/>
      <c r="B104" s="2"/>
      <c r="C104" s="1"/>
      <c r="D104" s="1"/>
      <c r="E104" s="1"/>
      <c r="F104" s="1" t="str">
        <f>IFERROR( VLOOKUP(Tabel811[[#This Row],[Ressource_type]],Tabel7[#All],2,0),"")</f>
        <v/>
      </c>
    </row>
    <row r="105" spans="1:6" x14ac:dyDescent="0.3">
      <c r="A105" s="1"/>
      <c r="B105" s="2"/>
      <c r="C105" s="1"/>
      <c r="D105" s="1"/>
      <c r="E105" s="1"/>
      <c r="F105" s="1" t="str">
        <f>IFERROR( VLOOKUP(Tabel811[[#This Row],[Ressource_type]],Tabel7[#All],2,0),"")</f>
        <v/>
      </c>
    </row>
    <row r="106" spans="1:6" x14ac:dyDescent="0.3">
      <c r="A106" s="1"/>
      <c r="B106" s="2"/>
      <c r="C106" s="1"/>
      <c r="D106" s="1"/>
      <c r="E106" s="1"/>
      <c r="F106" s="1" t="str">
        <f>IFERROR( VLOOKUP(Tabel811[[#This Row],[Ressource_type]],Tabel7[#All],2,0),"")</f>
        <v/>
      </c>
    </row>
    <row r="107" spans="1:6" x14ac:dyDescent="0.3">
      <c r="A107" s="1"/>
      <c r="B107" s="2"/>
      <c r="C107" s="1"/>
      <c r="D107" s="1"/>
      <c r="E107" s="1"/>
      <c r="F107" s="1" t="str">
        <f>IFERROR( VLOOKUP(Tabel811[[#This Row],[Ressource_type]],Tabel7[#All],2,0),"")</f>
        <v/>
      </c>
    </row>
    <row r="108" spans="1:6" x14ac:dyDescent="0.3">
      <c r="A108" s="1"/>
      <c r="B108" s="2"/>
      <c r="C108" s="1"/>
      <c r="D108" s="1"/>
      <c r="E108" s="1"/>
      <c r="F108" s="1" t="str">
        <f>IFERROR( VLOOKUP(Tabel811[[#This Row],[Ressource_type]],Tabel7[#All],2,0),"")</f>
        <v/>
      </c>
    </row>
    <row r="109" spans="1:6" x14ac:dyDescent="0.3">
      <c r="A109" s="1"/>
      <c r="B109" s="2"/>
      <c r="C109" s="1"/>
      <c r="D109" s="1"/>
      <c r="E109" s="1"/>
      <c r="F109" s="1" t="str">
        <f>IFERROR( VLOOKUP(Tabel811[[#This Row],[Ressource_type]],Tabel7[#All],2,0),"")</f>
        <v/>
      </c>
    </row>
    <row r="110" spans="1:6" x14ac:dyDescent="0.3">
      <c r="A110" s="1"/>
      <c r="B110" s="2"/>
      <c r="C110" s="1"/>
      <c r="D110" s="1"/>
      <c r="E110" s="1"/>
      <c r="F110" s="1" t="str">
        <f>IFERROR( VLOOKUP(Tabel811[[#This Row],[Ressource_type]],Tabel7[#All],2,0),"")</f>
        <v/>
      </c>
    </row>
    <row r="111" spans="1:6" x14ac:dyDescent="0.3">
      <c r="A111" s="1"/>
      <c r="B111" s="2"/>
      <c r="C111" s="1"/>
      <c r="D111" s="1"/>
      <c r="E111" s="1"/>
      <c r="F111" s="1" t="str">
        <f>IFERROR( VLOOKUP(Tabel811[[#This Row],[Ressource_type]],Tabel7[#All],2,0),"")</f>
        <v/>
      </c>
    </row>
    <row r="112" spans="1:6" x14ac:dyDescent="0.3">
      <c r="A112" s="1"/>
      <c r="B112" s="2"/>
      <c r="C112" s="1"/>
      <c r="D112" s="1"/>
      <c r="E112" s="1"/>
      <c r="F112" s="1" t="str">
        <f>IFERROR( VLOOKUP(Tabel811[[#This Row],[Ressource_type]],Tabel7[#All],2,0),"")</f>
        <v/>
      </c>
    </row>
    <row r="113" spans="1:6" x14ac:dyDescent="0.3">
      <c r="A113" s="1"/>
      <c r="B113" s="2"/>
      <c r="C113" s="1"/>
      <c r="D113" s="1"/>
      <c r="E113" s="1"/>
      <c r="F113" s="1" t="str">
        <f>IFERROR( VLOOKUP(Tabel811[[#This Row],[Ressource_type]],Tabel7[#All],2,0),"")</f>
        <v/>
      </c>
    </row>
    <row r="114" spans="1:6" x14ac:dyDescent="0.3">
      <c r="A114" s="1"/>
      <c r="B114" s="2"/>
      <c r="C114" s="1"/>
      <c r="D114" s="1"/>
      <c r="E114" s="1"/>
      <c r="F114" s="1" t="str">
        <f>IFERROR( VLOOKUP(Tabel811[[#This Row],[Ressource_type]],Tabel7[#All],2,0),"")</f>
        <v/>
      </c>
    </row>
    <row r="115" spans="1:6" x14ac:dyDescent="0.3">
      <c r="A115" s="1"/>
      <c r="B115" s="2"/>
      <c r="C115" s="1"/>
      <c r="D115" s="1"/>
      <c r="E115" s="1"/>
      <c r="F115" s="1" t="str">
        <f>IFERROR( VLOOKUP(Tabel811[[#This Row],[Ressource_type]],Tabel7[#All],2,0),"")</f>
        <v/>
      </c>
    </row>
    <row r="116" spans="1:6" x14ac:dyDescent="0.3">
      <c r="A116" s="1"/>
      <c r="B116" s="2"/>
      <c r="C116" s="1"/>
      <c r="D116" s="1"/>
      <c r="E116" s="1"/>
      <c r="F116" s="1" t="str">
        <f>IFERROR( VLOOKUP(Tabel811[[#This Row],[Ressource_type]],Tabel7[#All],2,0),"")</f>
        <v/>
      </c>
    </row>
    <row r="117" spans="1:6" x14ac:dyDescent="0.3">
      <c r="A117" s="1"/>
      <c r="B117" s="2"/>
      <c r="C117" s="1"/>
      <c r="D117" s="1"/>
      <c r="E117" s="1"/>
      <c r="F117" s="1" t="str">
        <f>IFERROR( VLOOKUP(Tabel811[[#This Row],[Ressource_type]],Tabel7[#All],2,0),"")</f>
        <v/>
      </c>
    </row>
    <row r="118" spans="1:6" x14ac:dyDescent="0.3">
      <c r="A118" s="1"/>
      <c r="B118" s="2"/>
      <c r="C118" s="1"/>
      <c r="D118" s="1"/>
      <c r="E118" s="1"/>
      <c r="F118" s="1" t="str">
        <f>IFERROR( VLOOKUP(Tabel811[[#This Row],[Ressource_type]],Tabel7[#All],2,0),"")</f>
        <v/>
      </c>
    </row>
    <row r="119" spans="1:6" x14ac:dyDescent="0.3">
      <c r="A119" s="1"/>
      <c r="B119" s="2"/>
      <c r="C119" s="1"/>
      <c r="D119" s="1"/>
      <c r="E119" s="1"/>
      <c r="F119" s="1" t="str">
        <f>IFERROR( VLOOKUP(Tabel811[[#This Row],[Ressource_type]],Tabel7[#All],2,0),"")</f>
        <v/>
      </c>
    </row>
    <row r="120" spans="1:6" x14ac:dyDescent="0.3">
      <c r="A120" s="1"/>
      <c r="B120" s="2"/>
      <c r="C120" s="1"/>
      <c r="D120" s="1"/>
      <c r="E120" s="1"/>
      <c r="F120" s="1" t="str">
        <f>IFERROR( VLOOKUP(Tabel811[[#This Row],[Ressource_type]],Tabel7[#All],2,0),"")</f>
        <v/>
      </c>
    </row>
    <row r="121" spans="1:6" x14ac:dyDescent="0.3">
      <c r="A121" s="1"/>
      <c r="B121" s="2"/>
      <c r="C121" s="1"/>
      <c r="D121" s="1"/>
      <c r="E121" s="1"/>
      <c r="F121" s="1" t="str">
        <f>IFERROR( VLOOKUP(Tabel811[[#This Row],[Ressource_type]],Tabel7[#All],2,0),"")</f>
        <v/>
      </c>
    </row>
    <row r="122" spans="1:6" x14ac:dyDescent="0.3">
      <c r="A122" s="1"/>
      <c r="B122" s="2"/>
      <c r="C122" s="1"/>
      <c r="D122" s="1"/>
      <c r="E122" s="1"/>
      <c r="F122" s="1" t="str">
        <f>IFERROR( VLOOKUP(Tabel811[[#This Row],[Ressource_type]],Tabel7[#All],2,0),"")</f>
        <v/>
      </c>
    </row>
    <row r="123" spans="1:6" x14ac:dyDescent="0.3">
      <c r="A123" s="1"/>
      <c r="B123" s="2"/>
      <c r="C123" s="1"/>
      <c r="D123" s="1"/>
      <c r="E123" s="1"/>
      <c r="F123" s="1" t="str">
        <f>IFERROR( VLOOKUP(Tabel811[[#This Row],[Ressource_type]],Tabel7[#All],2,0),"")</f>
        <v/>
      </c>
    </row>
    <row r="124" spans="1:6" x14ac:dyDescent="0.3">
      <c r="A124" s="1"/>
      <c r="B124" s="2"/>
      <c r="C124" s="1"/>
      <c r="D124" s="1"/>
      <c r="E124" s="1"/>
      <c r="F124" s="1" t="str">
        <f>IFERROR( VLOOKUP(Tabel811[[#This Row],[Ressource_type]],Tabel7[#All],2,0),"")</f>
        <v/>
      </c>
    </row>
    <row r="125" spans="1:6" x14ac:dyDescent="0.3">
      <c r="A125" s="1"/>
      <c r="B125" s="2"/>
      <c r="C125" s="1"/>
      <c r="D125" s="1"/>
      <c r="E125" s="1"/>
      <c r="F125" s="1" t="str">
        <f>IFERROR( VLOOKUP(Tabel811[[#This Row],[Ressource_type]],Tabel7[#All],2,0),"")</f>
        <v/>
      </c>
    </row>
    <row r="126" spans="1:6" x14ac:dyDescent="0.3">
      <c r="A126" s="1"/>
      <c r="B126" s="2"/>
      <c r="C126" s="1"/>
      <c r="D126" s="1"/>
      <c r="E126" s="1"/>
      <c r="F126" s="1" t="str">
        <f>IFERROR( VLOOKUP(Tabel811[[#This Row],[Ressource_type]],Tabel7[#All],2,0),"")</f>
        <v/>
      </c>
    </row>
    <row r="127" spans="1:6" x14ac:dyDescent="0.3">
      <c r="A127" s="1"/>
      <c r="B127" s="2"/>
      <c r="C127" s="1"/>
      <c r="D127" s="1"/>
      <c r="E127" s="1"/>
      <c r="F127" s="1" t="str">
        <f>IFERROR( VLOOKUP(Tabel811[[#This Row],[Ressource_type]],Tabel7[#All],2,0),"")</f>
        <v/>
      </c>
    </row>
    <row r="128" spans="1:6" x14ac:dyDescent="0.3">
      <c r="A128" s="1"/>
      <c r="B128" s="2"/>
      <c r="C128" s="1"/>
      <c r="D128" s="1"/>
      <c r="E128" s="1"/>
      <c r="F128" s="1" t="str">
        <f>IFERROR( VLOOKUP(Tabel811[[#This Row],[Ressource_type]],Tabel7[#All],2,0),"")</f>
        <v/>
      </c>
    </row>
    <row r="129" spans="1:6" x14ac:dyDescent="0.3">
      <c r="A129" s="1"/>
      <c r="B129" s="2"/>
      <c r="C129" s="1"/>
      <c r="D129" s="1"/>
      <c r="E129" s="1"/>
      <c r="F129" s="1" t="str">
        <f>IFERROR( VLOOKUP(Tabel811[[#This Row],[Ressource_type]],Tabel7[#All],2,0),"")</f>
        <v/>
      </c>
    </row>
    <row r="130" spans="1:6" x14ac:dyDescent="0.3">
      <c r="A130" s="1"/>
      <c r="B130" s="2"/>
      <c r="C130" s="1"/>
      <c r="D130" s="1"/>
      <c r="E130" s="1"/>
      <c r="F130" s="1" t="str">
        <f>IFERROR( VLOOKUP(Tabel811[[#This Row],[Ressource_type]],Tabel7[#All],2,0),"")</f>
        <v/>
      </c>
    </row>
    <row r="131" spans="1:6" x14ac:dyDescent="0.3">
      <c r="A131" s="1"/>
      <c r="B131" s="2"/>
      <c r="C131" s="1"/>
      <c r="D131" s="1"/>
      <c r="E131" s="1"/>
      <c r="F131" s="1" t="str">
        <f>IFERROR( VLOOKUP(Tabel811[[#This Row],[Ressource_type]],Tabel7[#All],2,0),"")</f>
        <v/>
      </c>
    </row>
    <row r="132" spans="1:6" x14ac:dyDescent="0.3">
      <c r="A132" s="1"/>
      <c r="B132" s="2"/>
      <c r="C132" s="1"/>
      <c r="D132" s="1"/>
      <c r="E132" s="1"/>
      <c r="F132" s="1" t="str">
        <f>IFERROR( VLOOKUP(Tabel811[[#This Row],[Ressource_type]],Tabel7[#All],2,0),"")</f>
        <v/>
      </c>
    </row>
    <row r="133" spans="1:6" x14ac:dyDescent="0.3">
      <c r="A133" s="1"/>
      <c r="B133" s="2"/>
      <c r="C133" s="1"/>
      <c r="D133" s="1"/>
      <c r="E133" s="1"/>
      <c r="F133" s="1" t="str">
        <f>IFERROR( VLOOKUP(Tabel811[[#This Row],[Ressource_type]],Tabel7[#All],2,0),"")</f>
        <v/>
      </c>
    </row>
    <row r="134" spans="1:6" x14ac:dyDescent="0.3">
      <c r="A134" s="1"/>
      <c r="B134" s="2"/>
      <c r="C134" s="1"/>
      <c r="D134" s="1"/>
      <c r="E134" s="1"/>
      <c r="F134" s="1" t="str">
        <f>IFERROR( VLOOKUP(Tabel811[[#This Row],[Ressource_type]],Tabel7[#All],2,0),"")</f>
        <v/>
      </c>
    </row>
    <row r="135" spans="1:6" x14ac:dyDescent="0.3">
      <c r="A135" s="1"/>
      <c r="B135" s="2"/>
      <c r="C135" s="1"/>
      <c r="D135" s="1"/>
      <c r="E135" s="1"/>
      <c r="F135" s="1" t="str">
        <f>IFERROR( VLOOKUP(Tabel811[[#This Row],[Ressource_type]],Tabel7[#All],2,0),"")</f>
        <v/>
      </c>
    </row>
    <row r="136" spans="1:6" x14ac:dyDescent="0.3">
      <c r="A136" s="1"/>
      <c r="B136" s="2"/>
      <c r="C136" s="1"/>
      <c r="D136" s="1"/>
      <c r="E136" s="1"/>
      <c r="F136" s="1" t="str">
        <f>IFERROR( VLOOKUP(Tabel811[[#This Row],[Ressource_type]],Tabel7[#All],2,0),"")</f>
        <v/>
      </c>
    </row>
    <row r="137" spans="1:6" x14ac:dyDescent="0.3">
      <c r="A137" s="1"/>
      <c r="B137" s="2"/>
      <c r="C137" s="1"/>
      <c r="D137" s="1"/>
      <c r="E137" s="1"/>
      <c r="F137" s="1" t="str">
        <f>IFERROR( VLOOKUP(Tabel811[[#This Row],[Ressource_type]],Tabel7[#All],2,0),"")</f>
        <v/>
      </c>
    </row>
    <row r="138" spans="1:6" x14ac:dyDescent="0.3">
      <c r="A138" s="1"/>
      <c r="B138" s="2"/>
      <c r="C138" s="1"/>
      <c r="D138" s="1"/>
      <c r="E138" s="1"/>
      <c r="F138" s="1" t="str">
        <f>IFERROR( VLOOKUP(Tabel811[[#This Row],[Ressource_type]],Tabel7[#All],2,0),"")</f>
        <v/>
      </c>
    </row>
    <row r="139" spans="1:6" x14ac:dyDescent="0.3">
      <c r="A139" s="1"/>
      <c r="B139" s="2"/>
      <c r="C139" s="1"/>
      <c r="D139" s="1"/>
      <c r="E139" s="1"/>
      <c r="F139" s="1" t="str">
        <f>IFERROR( VLOOKUP(Tabel811[[#This Row],[Ressource_type]],Tabel7[#All],2,0),"")</f>
        <v/>
      </c>
    </row>
    <row r="140" spans="1:6" x14ac:dyDescent="0.3">
      <c r="A140" s="1"/>
      <c r="B140" s="2"/>
      <c r="C140" s="1"/>
      <c r="D140" s="1"/>
      <c r="E140" s="1"/>
      <c r="F140" s="1" t="str">
        <f>IFERROR( VLOOKUP(Tabel811[[#This Row],[Ressource_type]],Tabel7[#All],2,0),"")</f>
        <v/>
      </c>
    </row>
    <row r="141" spans="1:6" x14ac:dyDescent="0.3">
      <c r="A141" s="1"/>
      <c r="B141" s="2"/>
      <c r="C141" s="1"/>
      <c r="D141" s="1"/>
      <c r="E141" s="1"/>
      <c r="F141" s="1" t="str">
        <f>IFERROR( VLOOKUP(Tabel811[[#This Row],[Ressource_type]],Tabel7[#All],2,0),"")</f>
        <v/>
      </c>
    </row>
    <row r="142" spans="1:6" x14ac:dyDescent="0.3">
      <c r="A142" s="1"/>
      <c r="B142" s="2"/>
      <c r="C142" s="1"/>
      <c r="D142" s="1"/>
      <c r="E142" s="1"/>
      <c r="F142" s="1" t="str">
        <f>IFERROR( VLOOKUP(Tabel811[[#This Row],[Ressource_type]],Tabel7[#All],2,0),"")</f>
        <v/>
      </c>
    </row>
    <row r="143" spans="1:6" x14ac:dyDescent="0.3">
      <c r="A143" s="1"/>
      <c r="B143" s="2"/>
      <c r="C143" s="1"/>
      <c r="D143" s="1"/>
      <c r="E143" s="1"/>
      <c r="F143" s="1" t="str">
        <f>IFERROR( VLOOKUP(Tabel811[[#This Row],[Ressource_type]],Tabel7[#All],2,0),"")</f>
        <v/>
      </c>
    </row>
    <row r="144" spans="1:6" x14ac:dyDescent="0.3">
      <c r="A144" s="1"/>
      <c r="B144" s="2"/>
      <c r="C144" s="1"/>
      <c r="D144" s="1"/>
      <c r="E144" s="1"/>
      <c r="F144" s="1" t="str">
        <f>IFERROR( VLOOKUP(Tabel811[[#This Row],[Ressource_type]],Tabel7[#All],2,0),"")</f>
        <v/>
      </c>
    </row>
    <row r="145" spans="1:6" x14ac:dyDescent="0.3">
      <c r="A145" s="1"/>
      <c r="B145" s="2"/>
      <c r="C145" s="1"/>
      <c r="D145" s="1"/>
      <c r="E145" s="1"/>
      <c r="F145" s="1" t="str">
        <f>IFERROR( VLOOKUP(Tabel811[[#This Row],[Ressource_type]],Tabel7[#All],2,0),"")</f>
        <v/>
      </c>
    </row>
    <row r="146" spans="1:6" x14ac:dyDescent="0.3">
      <c r="A146" s="1"/>
      <c r="B146" s="2"/>
      <c r="C146" s="1"/>
      <c r="D146" s="1"/>
      <c r="E146" s="1"/>
      <c r="F146" s="1" t="str">
        <f>IFERROR( VLOOKUP(Tabel811[[#This Row],[Ressource_type]],Tabel7[#All],2,0),"")</f>
        <v/>
      </c>
    </row>
    <row r="147" spans="1:6" x14ac:dyDescent="0.3">
      <c r="A147" s="1"/>
      <c r="B147" s="2"/>
      <c r="C147" s="1"/>
      <c r="D147" s="1"/>
      <c r="E147" s="1"/>
      <c r="F147" s="1" t="str">
        <f>IFERROR( VLOOKUP(Tabel811[[#This Row],[Ressource_type]],Tabel7[#All],2,0),"")</f>
        <v/>
      </c>
    </row>
    <row r="148" spans="1:6" x14ac:dyDescent="0.3">
      <c r="A148" s="1"/>
      <c r="B148" s="2"/>
      <c r="C148" s="1"/>
      <c r="D148" s="1"/>
      <c r="E148" s="1"/>
      <c r="F148" s="1" t="str">
        <f>IFERROR( VLOOKUP(Tabel811[[#This Row],[Ressource_type]],Tabel7[#All],2,0),"")</f>
        <v/>
      </c>
    </row>
    <row r="149" spans="1:6" x14ac:dyDescent="0.3">
      <c r="A149" s="1"/>
      <c r="B149" s="2"/>
      <c r="C149" s="1"/>
      <c r="D149" s="1"/>
      <c r="E149" s="1"/>
      <c r="F149" s="1" t="str">
        <f>IFERROR( VLOOKUP(Tabel811[[#This Row],[Ressource_type]],Tabel7[#All],2,0),"")</f>
        <v/>
      </c>
    </row>
    <row r="150" spans="1:6" x14ac:dyDescent="0.3">
      <c r="A150" s="1"/>
      <c r="B150" s="2"/>
      <c r="C150" s="1"/>
      <c r="D150" s="1"/>
      <c r="E150" s="1"/>
      <c r="F150" s="1" t="str">
        <f>IFERROR( VLOOKUP(Tabel811[[#This Row],[Ressource_type]],Tabel7[#All],2,0),"")</f>
        <v/>
      </c>
    </row>
    <row r="151" spans="1:6" x14ac:dyDescent="0.3">
      <c r="A151" s="1"/>
      <c r="B151" s="2"/>
      <c r="C151" s="1"/>
      <c r="D151" s="1"/>
      <c r="E151" s="1"/>
      <c r="F151" s="1" t="str">
        <f>IFERROR( VLOOKUP(Tabel811[[#This Row],[Ressource_type]],Tabel7[#All],2,0),"")</f>
        <v/>
      </c>
    </row>
    <row r="152" spans="1:6" x14ac:dyDescent="0.3">
      <c r="A152" s="1"/>
      <c r="B152" s="2"/>
      <c r="C152" s="1"/>
      <c r="D152" s="1"/>
      <c r="E152" s="1"/>
      <c r="F152" s="1" t="str">
        <f>IFERROR( VLOOKUP(Tabel811[[#This Row],[Ressource_type]],Tabel7[#All],2,0),"")</f>
        <v/>
      </c>
    </row>
    <row r="153" spans="1:6" x14ac:dyDescent="0.3">
      <c r="A153" s="1"/>
      <c r="B153" s="2"/>
      <c r="C153" s="1"/>
      <c r="D153" s="1"/>
      <c r="E153" s="1"/>
      <c r="F153" s="1" t="str">
        <f>IFERROR( VLOOKUP(Tabel811[[#This Row],[Ressource_type]],Tabel7[#All],2,0),"")</f>
        <v/>
      </c>
    </row>
    <row r="154" spans="1:6" x14ac:dyDescent="0.3">
      <c r="A154" s="1"/>
      <c r="B154" s="2"/>
      <c r="C154" s="1"/>
      <c r="D154" s="1"/>
      <c r="E154" s="1"/>
      <c r="F154" s="1" t="str">
        <f>IFERROR( VLOOKUP(Tabel811[[#This Row],[Ressource_type]],Tabel7[#All],2,0),"")</f>
        <v/>
      </c>
    </row>
    <row r="155" spans="1:6" x14ac:dyDescent="0.3">
      <c r="A155" s="1"/>
      <c r="B155" s="2"/>
      <c r="C155" s="1"/>
      <c r="D155" s="1"/>
      <c r="E155" s="1"/>
      <c r="F155" s="1" t="str">
        <f>IFERROR( VLOOKUP(Tabel811[[#This Row],[Ressource_type]],Tabel7[#All],2,0),"")</f>
        <v/>
      </c>
    </row>
    <row r="156" spans="1:6" x14ac:dyDescent="0.3">
      <c r="A156" s="1"/>
      <c r="B156" s="2"/>
      <c r="C156" s="1"/>
      <c r="D156" s="1"/>
      <c r="E156" s="1"/>
      <c r="F156" s="1" t="str">
        <f>IFERROR( VLOOKUP(Tabel811[[#This Row],[Ressource_type]],Tabel7[#All],2,0),"")</f>
        <v/>
      </c>
    </row>
    <row r="157" spans="1:6" x14ac:dyDescent="0.3">
      <c r="A157" s="1"/>
      <c r="B157" s="2"/>
      <c r="C157" s="1"/>
      <c r="D157" s="1"/>
      <c r="E157" s="1"/>
      <c r="F157" s="1" t="str">
        <f>IFERROR( VLOOKUP(Tabel811[[#This Row],[Ressource_type]],Tabel7[#All],2,0),"")</f>
        <v/>
      </c>
    </row>
    <row r="158" spans="1:6" x14ac:dyDescent="0.3">
      <c r="A158" s="1"/>
      <c r="B158" s="2"/>
      <c r="C158" s="1"/>
      <c r="D158" s="1"/>
      <c r="E158" s="1"/>
      <c r="F158" s="1" t="str">
        <f>IFERROR( VLOOKUP(Tabel811[[#This Row],[Ressource_type]],Tabel7[#All],2,0),"")</f>
        <v/>
      </c>
    </row>
    <row r="159" spans="1:6" x14ac:dyDescent="0.3">
      <c r="A159" s="1"/>
      <c r="B159" s="2"/>
      <c r="C159" s="1"/>
      <c r="D159" s="1"/>
      <c r="E159" s="1"/>
      <c r="F159" s="1" t="str">
        <f>IFERROR( VLOOKUP(Tabel811[[#This Row],[Ressource_type]],Tabel7[#All],2,0),"")</f>
        <v/>
      </c>
    </row>
    <row r="160" spans="1:6" x14ac:dyDescent="0.3">
      <c r="A160" s="1"/>
      <c r="B160" s="2"/>
      <c r="C160" s="1"/>
      <c r="D160" s="1"/>
      <c r="E160" s="1"/>
      <c r="F160" s="1" t="str">
        <f>IFERROR( VLOOKUP(Tabel811[[#This Row],[Ressource_type]],Tabel7[#All],2,0),"")</f>
        <v/>
      </c>
    </row>
    <row r="161" spans="1:6" x14ac:dyDescent="0.3">
      <c r="A161" s="1"/>
      <c r="B161" s="2"/>
      <c r="C161" s="1"/>
      <c r="D161" s="1"/>
      <c r="E161" s="1"/>
      <c r="F161" s="1" t="str">
        <f>IFERROR( VLOOKUP(Tabel811[[#This Row],[Ressource_type]],Tabel7[#All],2,0),"")</f>
        <v/>
      </c>
    </row>
  </sheetData>
  <dataValidations count="4">
    <dataValidation type="list" allowBlank="1" showInputMessage="1" showErrorMessage="1" sqref="E2:E161" xr:uid="{00000000-0002-0000-0900-000000000000}">
      <formula1>ResourceTypes</formula1>
    </dataValidation>
    <dataValidation type="list" allowBlank="1" showInputMessage="1" showErrorMessage="1" sqref="C2:C161" xr:uid="{00000000-0002-0000-0900-000001000000}">
      <formula1>Timeslots_timings</formula1>
    </dataValidation>
    <dataValidation type="list" allowBlank="1" showInputMessage="1" showErrorMessage="1" sqref="B2:B161" xr:uid="{00000000-0002-0000-0900-000002000000}">
      <formula1>Dates</formula1>
    </dataValidation>
    <dataValidation type="list" allowBlank="1" showInputMessage="1" showErrorMessage="1" sqref="D2:D161" xr:uid="{00000000-0002-0000-0900-000003000000}">
      <formula1>TIMESLOTS_ID</formula1>
    </dataValidation>
  </dataValidation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10</vt:i4>
      </vt:variant>
      <vt:variant>
        <vt:lpstr>Navngivne områder</vt:lpstr>
      </vt:variant>
      <vt:variant>
        <vt:i4>21</vt:i4>
      </vt:variant>
    </vt:vector>
  </HeadingPairs>
  <TitlesOfParts>
    <vt:vector size="31" baseType="lpstr">
      <vt:lpstr>Metadata</vt:lpstr>
      <vt:lpstr>Ressource_type</vt:lpstr>
      <vt:lpstr>Room</vt:lpstr>
      <vt:lpstr>Role</vt:lpstr>
      <vt:lpstr>Person</vt:lpstr>
      <vt:lpstr>Subject</vt:lpstr>
      <vt:lpstr>Timeslot</vt:lpstr>
      <vt:lpstr>Group</vt:lpstr>
      <vt:lpstr>Booking_Persons</vt:lpstr>
      <vt:lpstr>Booking_Rooms</vt:lpstr>
      <vt:lpstr>Booking_Persons!Dates</vt:lpstr>
      <vt:lpstr>Booking_Rooms!Dates</vt:lpstr>
      <vt:lpstr>Dates</vt:lpstr>
      <vt:lpstr>Booking_Persons!Persons</vt:lpstr>
      <vt:lpstr>Booking_Rooms!Persons</vt:lpstr>
      <vt:lpstr>Persons</vt:lpstr>
      <vt:lpstr>Booking_Persons!ResourceTypes</vt:lpstr>
      <vt:lpstr>Booking_Rooms!ResourceTypes</vt:lpstr>
      <vt:lpstr>ResourceTypes</vt:lpstr>
      <vt:lpstr>Booking_Persons!Rooms</vt:lpstr>
      <vt:lpstr>Booking_Rooms!Rooms</vt:lpstr>
      <vt:lpstr>Rooms</vt:lpstr>
      <vt:lpstr>Booking_Persons!subjects</vt:lpstr>
      <vt:lpstr>Booking_Rooms!subjects</vt:lpstr>
      <vt:lpstr>subjects</vt:lpstr>
      <vt:lpstr>Timeslots</vt:lpstr>
      <vt:lpstr>Booking_Persons!TIMESLOTS_ID</vt:lpstr>
      <vt:lpstr>TIMESLOTS_ID</vt:lpstr>
      <vt:lpstr>Booking_Persons!Timeslots_timings</vt:lpstr>
      <vt:lpstr>Booking_Rooms!Timeslots_timings</vt:lpstr>
      <vt:lpstr>Timeslots_timings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Casper Fonseca M. Panah</cp:lastModifiedBy>
  <dcterms:created xsi:type="dcterms:W3CDTF">2017-12-11T14:21:43Z</dcterms:created>
  <dcterms:modified xsi:type="dcterms:W3CDTF">2017-12-20T05:05:08Z</dcterms:modified>
</cp:coreProperties>
</file>